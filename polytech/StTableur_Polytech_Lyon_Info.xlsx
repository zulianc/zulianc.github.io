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_julien__\Ecole\Polytech\"/>
    </mc:Choice>
  </mc:AlternateContent>
  <xr:revisionPtr revIDLastSave="0" documentId="13_ncr:1_{C2428711-F102-4FF1-9374-F05CC7E2137C}" xr6:coauthVersionLast="47" xr6:coauthVersionMax="47" xr10:uidLastSave="{00000000-0000-0000-0000-000000000000}"/>
  <bookViews>
    <workbookView xWindow="-120" yWindow="-120" windowWidth="29040" windowHeight="15720" xr2:uid="{2166B340-63E7-40DE-94EE-C7BDCE76DCA3}"/>
  </bookViews>
  <sheets>
    <sheet name="HOME" sheetId="1" r:id="rId1"/>
    <sheet name="S5_FISE" sheetId="2" r:id="rId2"/>
    <sheet name="S6_FISE" sheetId="14" r:id="rId3"/>
    <sheet name="S7_FISE" sheetId="16" r:id="rId4"/>
    <sheet name="S8_FISE" sheetId="18" r:id="rId5"/>
    <sheet name="S9_FISE" sheetId="19" r:id="rId6"/>
    <sheet name="S10_FISE" sheetId="17" r:id="rId7"/>
    <sheet name="S5_FISA" sheetId="13" r:id="rId8"/>
    <sheet name="S6_FISA" sheetId="15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8" l="1"/>
  <c r="F28" i="18"/>
  <c r="H13" i="18" l="1"/>
  <c r="H6" i="18"/>
  <c r="H22" i="18"/>
  <c r="H26" i="18"/>
  <c r="H33" i="18"/>
  <c r="H15" i="18"/>
  <c r="H19" i="18"/>
  <c r="F2" i="18"/>
  <c r="F3" i="18"/>
  <c r="F4" i="18"/>
  <c r="F5" i="18"/>
  <c r="H10" i="18"/>
  <c r="H41" i="18"/>
  <c r="I41" i="18" s="1"/>
  <c r="H28" i="18"/>
  <c r="H30" i="18"/>
  <c r="H38" i="18"/>
  <c r="H37" i="18"/>
  <c r="G12" i="1"/>
  <c r="F12" i="1"/>
  <c r="H36" i="18"/>
  <c r="H26" i="19"/>
  <c r="E26" i="19"/>
  <c r="I15" i="19"/>
  <c r="I12" i="19"/>
  <c r="I10" i="19"/>
  <c r="I6" i="19"/>
  <c r="I2" i="19"/>
  <c r="H3" i="19"/>
  <c r="H4" i="19"/>
  <c r="H5" i="19"/>
  <c r="H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I18" i="19" s="1"/>
  <c r="H19" i="19"/>
  <c r="H20" i="19"/>
  <c r="H21" i="19"/>
  <c r="H22" i="19"/>
  <c r="H23" i="19"/>
  <c r="H24" i="19"/>
  <c r="H25" i="19"/>
  <c r="I25" i="19" s="1"/>
  <c r="H2" i="19"/>
  <c r="C26" i="19"/>
  <c r="C43" i="18"/>
  <c r="H40" i="18"/>
  <c r="H35" i="18"/>
  <c r="H34" i="18"/>
  <c r="H2" i="17"/>
  <c r="C3" i="17"/>
  <c r="I2" i="17"/>
  <c r="F4" i="16"/>
  <c r="F3" i="16"/>
  <c r="F2" i="16"/>
  <c r="H2" i="16" s="1"/>
  <c r="C5" i="16"/>
  <c r="H24" i="14"/>
  <c r="H39" i="14"/>
  <c r="I39" i="14" s="1"/>
  <c r="H33" i="2"/>
  <c r="H2" i="13"/>
  <c r="H10" i="14"/>
  <c r="H20" i="2"/>
  <c r="F28" i="14"/>
  <c r="F29" i="14"/>
  <c r="F27" i="14"/>
  <c r="F4" i="2"/>
  <c r="F5" i="2"/>
  <c r="F6" i="2"/>
  <c r="F7" i="2"/>
  <c r="F3" i="2"/>
  <c r="F2" i="2"/>
  <c r="H2" i="2" s="1"/>
  <c r="H9" i="15"/>
  <c r="H8" i="15"/>
  <c r="H7" i="15"/>
  <c r="H6" i="15"/>
  <c r="H5" i="15"/>
  <c r="H14" i="15"/>
  <c r="I14" i="15" s="1"/>
  <c r="H12" i="15"/>
  <c r="H11" i="15"/>
  <c r="H10" i="15"/>
  <c r="H4" i="15"/>
  <c r="H3" i="15"/>
  <c r="H2" i="15"/>
  <c r="C16" i="15"/>
  <c r="C40" i="14"/>
  <c r="H15" i="15"/>
  <c r="I15" i="15" s="1"/>
  <c r="H13" i="15"/>
  <c r="H2" i="14"/>
  <c r="H8" i="14"/>
  <c r="H21" i="14"/>
  <c r="H11" i="14"/>
  <c r="H30" i="14"/>
  <c r="I30" i="14" s="1"/>
  <c r="H18" i="14"/>
  <c r="H38" i="14"/>
  <c r="H36" i="14"/>
  <c r="H34" i="14"/>
  <c r="H33" i="14"/>
  <c r="H32" i="14"/>
  <c r="I32" i="14" s="1"/>
  <c r="H15" i="14"/>
  <c r="H6" i="14"/>
  <c r="H4" i="14"/>
  <c r="H16" i="13"/>
  <c r="I16" i="13" s="1"/>
  <c r="H15" i="13"/>
  <c r="H14" i="13"/>
  <c r="H13" i="13"/>
  <c r="H12" i="13"/>
  <c r="H11" i="13"/>
  <c r="I11" i="13" s="1"/>
  <c r="H10" i="13"/>
  <c r="H9" i="13"/>
  <c r="H8" i="13"/>
  <c r="H7" i="13"/>
  <c r="C17" i="13"/>
  <c r="H10" i="2"/>
  <c r="H8" i="2"/>
  <c r="H16" i="2"/>
  <c r="H12" i="2"/>
  <c r="H22" i="2"/>
  <c r="H18" i="2"/>
  <c r="H35" i="2"/>
  <c r="H31" i="2"/>
  <c r="H36" i="2"/>
  <c r="I36" i="2" s="1"/>
  <c r="H30" i="2"/>
  <c r="H29" i="2"/>
  <c r="I29" i="2" s="1"/>
  <c r="H27" i="2"/>
  <c r="H25" i="2"/>
  <c r="C22" i="1"/>
  <c r="D22" i="1"/>
  <c r="E22" i="1"/>
  <c r="B22" i="1"/>
  <c r="C38" i="2"/>
  <c r="I25" i="2" l="1"/>
  <c r="I31" i="2"/>
  <c r="H2" i="18"/>
  <c r="I12" i="2"/>
  <c r="I15" i="18"/>
  <c r="I30" i="18"/>
  <c r="I2" i="18"/>
  <c r="I9" i="13"/>
  <c r="I36" i="18"/>
  <c r="I22" i="18"/>
  <c r="I20" i="19"/>
  <c r="I2" i="14"/>
  <c r="H27" i="14"/>
  <c r="I24" i="14" s="1"/>
  <c r="I34" i="18"/>
  <c r="H3" i="17"/>
  <c r="E3" i="17"/>
  <c r="I2" i="16"/>
  <c r="I2" i="2"/>
  <c r="I18" i="2"/>
  <c r="I11" i="14"/>
  <c r="I8" i="14"/>
  <c r="I34" i="14"/>
  <c r="I13" i="13"/>
  <c r="I4" i="15"/>
  <c r="I8" i="15"/>
  <c r="I2" i="15"/>
  <c r="I10" i="15"/>
  <c r="I2" i="13"/>
  <c r="H40" i="14" l="1"/>
  <c r="E40" i="14"/>
  <c r="E43" i="18"/>
  <c r="E12" i="1" s="1"/>
  <c r="E16" i="15"/>
  <c r="H16" i="15"/>
  <c r="E17" i="13"/>
  <c r="B17" i="1" s="1"/>
  <c r="H43" i="18"/>
  <c r="H5" i="16"/>
  <c r="E5" i="16"/>
  <c r="D12" i="1" s="1"/>
  <c r="H38" i="2"/>
  <c r="H17" i="13"/>
  <c r="C12" i="1"/>
  <c r="C17" i="1"/>
  <c r="E38" i="2"/>
  <c r="B12" i="1" s="1"/>
</calcChain>
</file>

<file path=xl/sharedStrings.xml><?xml version="1.0" encoding="utf-8"?>
<sst xmlns="http://schemas.openxmlformats.org/spreadsheetml/2006/main" count="401" uniqueCount="188">
  <si>
    <t>Il y a un onglet par semestre pour les FISE et pour les FISA.</t>
  </si>
  <si>
    <t>Sont seulement pris en compte dans le tableur les semestres généralistes, libre à vous de l’adapter en fonction de votre trajectoire.</t>
  </si>
  <si>
    <t>FISE</t>
  </si>
  <si>
    <t>Semestre</t>
  </si>
  <si>
    <t>S5</t>
  </si>
  <si>
    <t>S6</t>
  </si>
  <si>
    <t>S7</t>
  </si>
  <si>
    <t>S8</t>
  </si>
  <si>
    <t>S9</t>
  </si>
  <si>
    <t>S10</t>
  </si>
  <si>
    <t>Note</t>
  </si>
  <si>
    <t>Forcer la note</t>
  </si>
  <si>
    <t>FISA</t>
  </si>
  <si>
    <t>Quitus</t>
  </si>
  <si>
    <t>Charte HVSS</t>
  </si>
  <si>
    <t>Expérience professionnelle</t>
  </si>
  <si>
    <t>TOEIC</t>
  </si>
  <si>
    <t>Mobilité internationale</t>
  </si>
  <si>
    <t>Validation</t>
  </si>
  <si>
    <t>Valider</t>
  </si>
  <si>
    <t>UE</t>
  </si>
  <si>
    <t>Matières</t>
  </si>
  <si>
    <t>Crédits</t>
  </si>
  <si>
    <t>Moyenne</t>
  </si>
  <si>
    <t>Introduction Mathématiques et Informatique</t>
  </si>
  <si>
    <r>
      <t>Fondements Maths et Informatique</t>
    </r>
    <r>
      <rPr>
        <i/>
        <sz val="10"/>
        <color theme="1"/>
        <rFont val="Liberation Sans"/>
        <family val="2"/>
      </rPr>
      <t xml:space="preserve"> (Début d’année)</t>
    </r>
  </si>
  <si>
    <t>Maths pour l’Info</t>
  </si>
  <si>
    <t>Probabilités et Statistique</t>
  </si>
  <si>
    <t>Algorithmique - Complexité -  Programmation Objet</t>
  </si>
  <si>
    <t>Algorithmique Programmation Objet</t>
  </si>
  <si>
    <t>Algorithmique et Complexité 1</t>
  </si>
  <si>
    <t>Web - Initiation</t>
  </si>
  <si>
    <t>ISI1 Web</t>
  </si>
  <si>
    <t>Ingénierie des Systèmes d’Informations 1</t>
  </si>
  <si>
    <t>Signal et Hardware</t>
  </si>
  <si>
    <t>Langues</t>
  </si>
  <si>
    <t>Anglais</t>
  </si>
  <si>
    <r>
      <t>Anglais renforcé -</t>
    </r>
    <r>
      <rPr>
        <i/>
        <sz val="10"/>
        <color theme="1"/>
        <rFont val="Liberation Sans"/>
        <family val="2"/>
      </rPr>
      <t>OU-</t>
    </r>
    <r>
      <rPr>
        <sz val="12"/>
        <color theme="1"/>
        <rFont val="Liberation Sans"/>
        <family val="2"/>
      </rPr>
      <t xml:space="preserve"> LV2</t>
    </r>
  </si>
  <si>
    <t>Ouverture aux entreprises</t>
  </si>
  <si>
    <t>Gestion / Jeu d’entreprise</t>
  </si>
  <si>
    <t>Entreprise et Vie Économique</t>
  </si>
  <si>
    <t>Sport</t>
  </si>
  <si>
    <t>PPP</t>
  </si>
  <si>
    <t>Développement de sa Trajectoire</t>
  </si>
  <si>
    <t>Total</t>
  </si>
  <si>
    <t>Mathématiques discrètes</t>
  </si>
  <si>
    <t>Graphes &amp; Applications</t>
  </si>
  <si>
    <t>Algorithmique - Programmation</t>
  </si>
  <si>
    <t>Algorithmique et Complexité 2</t>
  </si>
  <si>
    <t>Ingénierie des Systèmes d’Informations 2</t>
  </si>
  <si>
    <t>Réseaux d’ordinateurs</t>
  </si>
  <si>
    <t>Communication interpersonnelle</t>
  </si>
  <si>
    <t>Projet de Création d’Entreprise</t>
  </si>
  <si>
    <t>DDRS</t>
  </si>
  <si>
    <t>Stage</t>
  </si>
  <si>
    <t>Connaissances théoriques</t>
  </si>
  <si>
    <t>Optimisation discrète</t>
  </si>
  <si>
    <t>ARSIR</t>
  </si>
  <si>
    <t>Cryptographie</t>
  </si>
  <si>
    <t>Aide à la décision</t>
  </si>
  <si>
    <t>Ingénierie des Systèmes d’Informations 3</t>
  </si>
  <si>
    <t>Informatique répartie</t>
  </si>
  <si>
    <t>WEB Services</t>
  </si>
  <si>
    <t>Industrie 4.0/Enjeux sociétaux et environnementaux/Green IT</t>
  </si>
  <si>
    <t>Lean management</t>
  </si>
  <si>
    <t>Systèmes Informatiques</t>
  </si>
  <si>
    <t>Administration systèmes et Cloud</t>
  </si>
  <si>
    <t>Sécurité des Systèmes Informatiques</t>
  </si>
  <si>
    <t>Nouvelles technologies</t>
  </si>
  <si>
    <t>Applications informatiques mobiles</t>
  </si>
  <si>
    <t>Internet des Objets</t>
  </si>
  <si>
    <t>Applications informatiques embarquées</t>
  </si>
  <si>
    <t>Vulgarisation industrielle</t>
  </si>
  <si>
    <t>Systèmes Multi-agents</t>
  </si>
  <si>
    <t>Apprentissage profond</t>
  </si>
  <si>
    <t>Web Marketing</t>
  </si>
  <si>
    <t>User Center Design</t>
  </si>
  <si>
    <t>Analyse Financière</t>
  </si>
  <si>
    <t>Informatique de gestion</t>
  </si>
  <si>
    <t>Ouverture aux entreprises - Langues</t>
  </si>
  <si>
    <t>Apprentissage</t>
  </si>
  <si>
    <t>Mathématiques</t>
  </si>
  <si>
    <t>Ingénierie des Systèmes d’Informations 1 et 2</t>
  </si>
  <si>
    <t>Framework Javascript</t>
  </si>
  <si>
    <t>Réseaux et Systèmes de communication</t>
  </si>
  <si>
    <t>Développement personnel 1</t>
  </si>
  <si>
    <t>Saint-Tableur Polytech Lyon Info</t>
  </si>
  <si>
    <t>! Ce tableur et ses informations ne sont pas officiels !</t>
  </si>
  <si>
    <t>Moyennes</t>
  </si>
  <si>
    <t>Projet</t>
  </si>
  <si>
    <t>Notes &amp; coefficients</t>
  </si>
  <si>
    <t>Poster</t>
  </si>
  <si>
    <t>Portrait</t>
  </si>
  <si>
    <t>Moyenne TDs</t>
  </si>
  <si>
    <t>Dossier Kalypso</t>
  </si>
  <si>
    <t>QCM</t>
  </si>
  <si>
    <t>Gestion Entreprise</t>
  </si>
  <si>
    <t>TP Noté</t>
  </si>
  <si>
    <t>CC1</t>
  </si>
  <si>
    <t>CC2</t>
  </si>
  <si>
    <t>Moyenne QCMs</t>
  </si>
  <si>
    <t>CC TD</t>
  </si>
  <si>
    <t>CC Final</t>
  </si>
  <si>
    <t>QCM3</t>
  </si>
  <si>
    <t>APO - Initiation</t>
  </si>
  <si>
    <t>Tableur original créé par Julien de la promo FISE 2024-2027.</t>
  </si>
  <si>
    <t>Python - Initiation</t>
  </si>
  <si>
    <t>Rapport TDs</t>
  </si>
  <si>
    <t>Pitch Oral</t>
  </si>
  <si>
    <t>Pitch Ecrit</t>
  </si>
  <si>
    <t>Business Plan</t>
  </si>
  <si>
    <t>TPs Windows</t>
  </si>
  <si>
    <t>TPs Linux</t>
  </si>
  <si>
    <t>CC BDR</t>
  </si>
  <si>
    <t>TP BDR</t>
  </si>
  <si>
    <t>TP XML</t>
  </si>
  <si>
    <t>TP ORM</t>
  </si>
  <si>
    <t>Assiduité</t>
  </si>
  <si>
    <t>TP Colle</t>
  </si>
  <si>
    <t>Projet Agile</t>
  </si>
  <si>
    <t>CC Agile</t>
  </si>
  <si>
    <t>CC Bonus</t>
  </si>
  <si>
    <r>
      <t xml:space="preserve">Projet Tutoré
</t>
    </r>
    <r>
      <rPr>
        <i/>
        <sz val="10"/>
        <color theme="1"/>
        <rFont val="Liberation Sans"/>
        <family val="2"/>
      </rPr>
      <t>(En décembre)</t>
    </r>
  </si>
  <si>
    <t>Fondements Maths</t>
  </si>
  <si>
    <t>Fondements Algorithmique</t>
  </si>
  <si>
    <t>Base de Données 1</t>
  </si>
  <si>
    <t>Théorie des Langages et Compilation</t>
  </si>
  <si>
    <t>Structure des Calculateurs</t>
  </si>
  <si>
    <t>Mathématiques discrètes et Statistiques</t>
  </si>
  <si>
    <t>Méthodes Statistiques pour l’Ingénieur</t>
  </si>
  <si>
    <t>Projet Informatique Encadré</t>
  </si>
  <si>
    <t>Base de Données 2</t>
  </si>
  <si>
    <t>Méthodes Agiles</t>
  </si>
  <si>
    <t>Informatique de gestion - Initiation</t>
  </si>
  <si>
    <t>Informatique de gestion - Niveau 2</t>
  </si>
  <si>
    <t>Modélisation des Données</t>
  </si>
  <si>
    <t>Systèmes d’Exploitation</t>
  </si>
  <si>
    <t>Réseaux d’ordinateurs et Systèmes d’Exploitation</t>
  </si>
  <si>
    <t>Enjeux Sociétaux et Environnementaux</t>
  </si>
  <si>
    <t>Approche compétence et Suivi de stage</t>
  </si>
  <si>
    <t>Mathématiques et Probabilités Statistiques</t>
  </si>
  <si>
    <t>Systèmes d'Exploitations</t>
  </si>
  <si>
    <t>Spécialité Informatique</t>
  </si>
  <si>
    <t>Base de Données</t>
  </si>
  <si>
    <t>Projet Tutoré</t>
  </si>
  <si>
    <t>Méthodes et outils pour l’Ingénieur informaticien</t>
  </si>
  <si>
    <t>Moyenne TPs</t>
  </si>
  <si>
    <t>Les résultats par semestres sont résumés dans le tableau ci-dessous.</t>
  </si>
  <si>
    <t>Oral Final</t>
  </si>
  <si>
    <t>Polytest</t>
  </si>
  <si>
    <t>TP GIT</t>
  </si>
  <si>
    <t>Soutenance</t>
  </si>
  <si>
    <t>Mémoire</t>
  </si>
  <si>
    <t>Entreprise</t>
  </si>
  <si>
    <t>Intelligence Artificielle</t>
  </si>
  <si>
    <t>Analyse des Données Multidimensionnelles</t>
  </si>
  <si>
    <t>Systèmes d'Information d'Aide à la Décision</t>
  </si>
  <si>
    <t>Ingénierie des Systèmes d’Informations &amp; Informatique répartie</t>
  </si>
  <si>
    <t>Informatique dans l'industrie &amp; Lean</t>
  </si>
  <si>
    <t>Management d'équipe</t>
  </si>
  <si>
    <t>Droit de la Propriété Intellectuelle</t>
  </si>
  <si>
    <t>Développement portoflio compétences</t>
  </si>
  <si>
    <t>Signal et Télécommunications</t>
  </si>
  <si>
    <t>Systèmes d'Information</t>
  </si>
  <si>
    <t>Intégration des Systèmes d'Information</t>
  </si>
  <si>
    <t>Ouverture à la Recherche</t>
  </si>
  <si>
    <t>Gestion de Projet Informatique</t>
  </si>
  <si>
    <t>Big Data</t>
  </si>
  <si>
    <t>Professionalisation Informatique</t>
  </si>
  <si>
    <t>Projet Tutoré Business Intelligence</t>
  </si>
  <si>
    <t>Projet Turoré Conception Developpement</t>
  </si>
  <si>
    <t>Qualité &amp; Tests logiciels</t>
  </si>
  <si>
    <t>Préparation au mémoire et Insertion</t>
  </si>
  <si>
    <t>Ressources Humaines</t>
  </si>
  <si>
    <t>CC3</t>
  </si>
  <si>
    <t>TP1</t>
  </si>
  <si>
    <t>TP2</t>
  </si>
  <si>
    <t>TP3</t>
  </si>
  <si>
    <t>Développement de la Performance</t>
  </si>
  <si>
    <t>Veuillez rentrer des valeurs seulement dans les cases grises.</t>
  </si>
  <si>
    <t>Rapport</t>
  </si>
  <si>
    <t>Présentation</t>
  </si>
  <si>
    <t>TP Green IT</t>
  </si>
  <si>
    <t>TP Industrie 4.0</t>
  </si>
  <si>
    <t>CV</t>
  </si>
  <si>
    <t>Mécatronique, Informatique pour la production</t>
  </si>
  <si>
    <t>Ecrit</t>
  </si>
  <si>
    <t>Participation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</si>
</sst>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theme="1"/>
      <name val="Liberation Sans"/>
      <family val="2"/>
    </font>
    <font>
      <sz val="10"/>
      <color theme="1"/>
      <name val="Liberation Sans"/>
      <family val="2"/>
    </font>
    <font>
      <b/>
      <sz val="10"/>
      <color theme="1"/>
      <name val="Liberation Sans"/>
      <family val="2"/>
    </font>
    <font>
      <b/>
      <sz val="10"/>
      <color rgb="FFFFFFFF"/>
      <name val="Liberation Sans"/>
      <family val="2"/>
    </font>
    <font>
      <sz val="10"/>
      <color rgb="FFCC0000"/>
      <name val="Liberation Sans"/>
      <family val="2"/>
    </font>
    <font>
      <i/>
      <sz val="10"/>
      <color rgb="FF808080"/>
      <name val="Liberation Sans"/>
      <family val="2"/>
    </font>
    <font>
      <sz val="10"/>
      <color rgb="FF006600"/>
      <name val="Liberation Sans"/>
      <family val="2"/>
    </font>
    <font>
      <b/>
      <sz val="24"/>
      <color rgb="FF000000"/>
      <name val="Liberation Sans"/>
      <family val="2"/>
    </font>
    <font>
      <b/>
      <sz val="18"/>
      <color rgb="FF000000"/>
      <name val="Liberation Sans"/>
      <family val="2"/>
    </font>
    <font>
      <b/>
      <sz val="12"/>
      <color rgb="FF000000"/>
      <name val="Liberation Sans"/>
      <family val="2"/>
    </font>
    <font>
      <u/>
      <sz val="10"/>
      <color rgb="FF0000EE"/>
      <name val="Liberation Sans"/>
      <family val="2"/>
    </font>
    <font>
      <sz val="10"/>
      <color rgb="FF996600"/>
      <name val="Liberation Sans"/>
      <family val="2"/>
    </font>
    <font>
      <sz val="10"/>
      <color rgb="FF333333"/>
      <name val="Liberation Sans"/>
      <family val="2"/>
    </font>
    <font>
      <b/>
      <i/>
      <u/>
      <sz val="10"/>
      <color theme="1"/>
      <name val="Liberation Sans"/>
      <family val="2"/>
    </font>
    <font>
      <sz val="12"/>
      <color theme="1"/>
      <name val="Liberation Sans"/>
      <family val="2"/>
    </font>
    <font>
      <sz val="16"/>
      <color theme="1"/>
      <name val="Liberation Sans"/>
      <family val="2"/>
    </font>
    <font>
      <b/>
      <sz val="12"/>
      <color theme="1"/>
      <name val="Liberation Sans"/>
      <family val="2"/>
    </font>
    <font>
      <i/>
      <sz val="10"/>
      <color theme="1"/>
      <name val="Liberation Sans"/>
      <family val="2"/>
    </font>
    <font>
      <sz val="16"/>
      <color rgb="FF00B0F0"/>
      <name val="Liberation Sans"/>
      <family val="2"/>
    </font>
    <font>
      <b/>
      <sz val="20"/>
      <color theme="3" tint="0.249977111117893"/>
      <name val="Liberation Sans"/>
      <family val="2"/>
    </font>
  </fonts>
  <fills count="2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AFD095"/>
        <bgColor rgb="FFAFD095"/>
      </patternFill>
    </fill>
    <fill>
      <patternFill patternType="solid">
        <fgColor rgb="FFB4C7DC"/>
        <bgColor rgb="FFB4C7DC"/>
      </patternFill>
    </fill>
    <fill>
      <patternFill patternType="solid">
        <fgColor rgb="FFEC9BA4"/>
        <bgColor rgb="FFEC9BA4"/>
      </patternFill>
    </fill>
    <fill>
      <patternFill patternType="solid">
        <fgColor rgb="FFFFA6A6"/>
        <bgColor rgb="FFFFA6A6"/>
      </patternFill>
    </fill>
    <fill>
      <patternFill patternType="solid">
        <fgColor rgb="FFE8F2A1"/>
        <bgColor rgb="FFE8F2A1"/>
      </patternFill>
    </fill>
    <fill>
      <patternFill patternType="solid">
        <fgColor rgb="FFFFB66C"/>
        <bgColor rgb="FFFFB66C"/>
      </patternFill>
    </fill>
    <fill>
      <patternFill patternType="solid">
        <fgColor rgb="FFBF819E"/>
        <bgColor rgb="FFBF819E"/>
      </patternFill>
    </fill>
    <fill>
      <patternFill patternType="solid">
        <fgColor rgb="FFFFE994"/>
        <bgColor rgb="FFFFE99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EEEEEE"/>
      </patternFill>
    </fill>
  </fills>
  <borders count="4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</borders>
  <cellStyleXfs count="21">
    <xf numFmtId="0" fontId="0" fillId="0" borderId="0"/>
    <xf numFmtId="0" fontId="12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1" fillId="0" borderId="0" applyNumberFormat="0" applyFont="0" applyFill="0" applyBorder="0" applyAlignment="0" applyProtection="0"/>
    <xf numFmtId="0" fontId="3" fillId="6" borderId="0"/>
    <xf numFmtId="0" fontId="5" fillId="0" borderId="0"/>
    <xf numFmtId="0" fontId="6" fillId="7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1" fillId="8" borderId="0"/>
    <xf numFmtId="0" fontId="13" fillId="0" borderId="0"/>
    <xf numFmtId="0" fontId="1" fillId="0" borderId="0"/>
    <xf numFmtId="0" fontId="1" fillId="0" borderId="0"/>
    <xf numFmtId="0" fontId="4" fillId="0" borderId="0"/>
    <xf numFmtId="9" fontId="1" fillId="0" borderId="0" applyFont="0" applyFill="0" applyBorder="0" applyAlignment="0" applyProtection="0"/>
  </cellStyleXfs>
  <cellXfs count="232">
    <xf numFmtId="0" fontId="0" fillId="0" borderId="0" xfId="0"/>
    <xf numFmtId="0" fontId="16" fillId="0" borderId="0" xfId="0" applyFont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4" fontId="14" fillId="0" borderId="0" xfId="0" applyNumberFormat="1" applyFont="1" applyAlignment="1">
      <alignment horizontal="center" vertical="center" wrapText="1"/>
    </xf>
    <xf numFmtId="0" fontId="14" fillId="16" borderId="11" xfId="0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14" borderId="0" xfId="0" applyFont="1" applyFill="1" applyAlignment="1">
      <alignment horizontal="center" vertical="center" wrapText="1"/>
    </xf>
    <xf numFmtId="4" fontId="14" fillId="0" borderId="20" xfId="0" applyNumberFormat="1" applyFont="1" applyBorder="1" applyAlignment="1">
      <alignment horizontal="center" vertical="center" wrapText="1"/>
    </xf>
    <xf numFmtId="4" fontId="14" fillId="0" borderId="22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4" fontId="14" fillId="0" borderId="25" xfId="0" applyNumberFormat="1" applyFont="1" applyBorder="1" applyAlignment="1">
      <alignment horizontal="center" vertical="center" wrapText="1"/>
    </xf>
    <xf numFmtId="9" fontId="14" fillId="0" borderId="24" xfId="20" applyFont="1" applyBorder="1" applyAlignment="1">
      <alignment horizontal="center" vertical="center" wrapText="1"/>
    </xf>
    <xf numFmtId="9" fontId="14" fillId="0" borderId="0" xfId="20" applyFont="1" applyBorder="1" applyAlignment="1">
      <alignment horizontal="center" vertical="center" wrapText="1"/>
    </xf>
    <xf numFmtId="9" fontId="14" fillId="0" borderId="16" xfId="20" applyFont="1" applyBorder="1" applyAlignment="1">
      <alignment horizontal="center" vertical="center" wrapText="1"/>
    </xf>
    <xf numFmtId="9" fontId="14" fillId="0" borderId="0" xfId="20" applyFont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15" borderId="24" xfId="0" applyFont="1" applyFill="1" applyBorder="1" applyAlignment="1">
      <alignment horizontal="center" vertical="center" wrapText="1"/>
    </xf>
    <xf numFmtId="0" fontId="14" fillId="15" borderId="16" xfId="0" applyFont="1" applyFill="1" applyBorder="1" applyAlignment="1">
      <alignment horizontal="center" vertical="center" wrapText="1"/>
    </xf>
    <xf numFmtId="0" fontId="14" fillId="16" borderId="35" xfId="0" applyFont="1" applyFill="1" applyBorder="1" applyAlignment="1">
      <alignment horizontal="center" vertical="center" wrapText="1"/>
    </xf>
    <xf numFmtId="0" fontId="14" fillId="16" borderId="8" xfId="0" applyFont="1" applyFill="1" applyBorder="1" applyAlignment="1">
      <alignment horizontal="center" vertical="center" wrapText="1"/>
    </xf>
    <xf numFmtId="0" fontId="14" fillId="13" borderId="8" xfId="0" applyFont="1" applyFill="1" applyBorder="1" applyAlignment="1">
      <alignment horizontal="center" vertical="center" wrapText="1"/>
    </xf>
    <xf numFmtId="0" fontId="14" fillId="13" borderId="35" xfId="0" applyFont="1" applyFill="1" applyBorder="1" applyAlignment="1">
      <alignment horizontal="center" vertical="center" wrapText="1"/>
    </xf>
    <xf numFmtId="0" fontId="14" fillId="9" borderId="8" xfId="0" applyFont="1" applyFill="1" applyBorder="1" applyAlignment="1">
      <alignment horizontal="center" vertical="center" wrapText="1"/>
    </xf>
    <xf numFmtId="0" fontId="14" fillId="9" borderId="17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4" fillId="12" borderId="28" xfId="0" applyFont="1" applyFill="1" applyBorder="1" applyAlignment="1">
      <alignment horizontal="center" vertical="center" wrapText="1"/>
    </xf>
    <xf numFmtId="0" fontId="14" fillId="12" borderId="21" xfId="0" applyFont="1" applyFill="1" applyBorder="1" applyAlignment="1">
      <alignment horizontal="center" vertical="center" wrapText="1"/>
    </xf>
    <xf numFmtId="0" fontId="14" fillId="12" borderId="23" xfId="0" applyFont="1" applyFill="1" applyBorder="1" applyAlignment="1">
      <alignment horizontal="center" vertical="center" wrapText="1"/>
    </xf>
    <xf numFmtId="4" fontId="14" fillId="0" borderId="24" xfId="0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10" borderId="8" xfId="0" applyFont="1" applyFill="1" applyBorder="1" applyAlignment="1">
      <alignment horizontal="center" vertical="center" wrapText="1"/>
    </xf>
    <xf numFmtId="0" fontId="14" fillId="16" borderId="16" xfId="0" applyFont="1" applyFill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14" fillId="10" borderId="20" xfId="0" applyFont="1" applyFill="1" applyBorder="1" applyAlignment="1">
      <alignment horizontal="center" vertical="center" wrapText="1"/>
    </xf>
    <xf numFmtId="4" fontId="14" fillId="0" borderId="16" xfId="0" applyNumberFormat="1" applyFont="1" applyBorder="1" applyAlignment="1">
      <alignment horizontal="center" vertical="center" wrapText="1"/>
    </xf>
    <xf numFmtId="0" fontId="14" fillId="11" borderId="26" xfId="0" applyFont="1" applyFill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9" fontId="14" fillId="0" borderId="31" xfId="20" applyFont="1" applyBorder="1" applyAlignment="1">
      <alignment horizontal="center" vertical="center" wrapText="1"/>
    </xf>
    <xf numFmtId="4" fontId="14" fillId="0" borderId="31" xfId="0" applyNumberFormat="1" applyFont="1" applyBorder="1" applyAlignment="1">
      <alignment horizontal="center" vertical="center" wrapText="1"/>
    </xf>
    <xf numFmtId="0" fontId="14" fillId="10" borderId="26" xfId="0" applyFont="1" applyFill="1" applyBorder="1" applyAlignment="1">
      <alignment horizontal="center" vertical="center" wrapText="1"/>
    </xf>
    <xf numFmtId="0" fontId="14" fillId="10" borderId="41" xfId="0" applyFont="1" applyFill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 wrapText="1"/>
    </xf>
    <xf numFmtId="4" fontId="14" fillId="0" borderId="26" xfId="0" applyNumberFormat="1" applyFont="1" applyBorder="1" applyAlignment="1">
      <alignment horizontal="center" vertical="center" wrapText="1"/>
    </xf>
    <xf numFmtId="4" fontId="14" fillId="0" borderId="30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14" fillId="13" borderId="28" xfId="0" applyFont="1" applyFill="1" applyBorder="1" applyAlignment="1">
      <alignment horizontal="center" vertical="center" wrapText="1"/>
    </xf>
    <xf numFmtId="0" fontId="14" fillId="13" borderId="21" xfId="0" applyFont="1" applyFill="1" applyBorder="1" applyAlignment="1">
      <alignment horizontal="center" vertical="center" wrapText="1"/>
    </xf>
    <xf numFmtId="0" fontId="14" fillId="13" borderId="23" xfId="0" applyFont="1" applyFill="1" applyBorder="1" applyAlignment="1">
      <alignment horizontal="center" vertical="center" wrapText="1"/>
    </xf>
    <xf numFmtId="0" fontId="14" fillId="14" borderId="28" xfId="0" applyFont="1" applyFill="1" applyBorder="1" applyAlignment="1">
      <alignment horizontal="center" vertical="center" wrapText="1"/>
    </xf>
    <xf numFmtId="0" fontId="14" fillId="14" borderId="23" xfId="0" applyFont="1" applyFill="1" applyBorder="1" applyAlignment="1">
      <alignment horizontal="center" vertical="center" wrapText="1"/>
    </xf>
    <xf numFmtId="0" fontId="14" fillId="16" borderId="28" xfId="0" applyFont="1" applyFill="1" applyBorder="1" applyAlignment="1">
      <alignment horizontal="center" vertical="center" wrapText="1"/>
    </xf>
    <xf numFmtId="0" fontId="14" fillId="16" borderId="21" xfId="0" applyFont="1" applyFill="1" applyBorder="1" applyAlignment="1">
      <alignment horizontal="center" vertical="center" wrapText="1"/>
    </xf>
    <xf numFmtId="0" fontId="14" fillId="16" borderId="23" xfId="0" applyFont="1" applyFill="1" applyBorder="1" applyAlignment="1">
      <alignment horizontal="center" vertical="center" wrapText="1"/>
    </xf>
    <xf numFmtId="0" fontId="14" fillId="11" borderId="30" xfId="0" applyFont="1" applyFill="1" applyBorder="1" applyAlignment="1">
      <alignment horizontal="center" vertical="center" wrapText="1"/>
    </xf>
    <xf numFmtId="0" fontId="14" fillId="10" borderId="30" xfId="0" applyFont="1" applyFill="1" applyBorder="1" applyAlignment="1">
      <alignment horizontal="center" vertical="center" wrapText="1"/>
    </xf>
    <xf numFmtId="4" fontId="14" fillId="0" borderId="2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4" fontId="14" fillId="17" borderId="20" xfId="0" applyNumberFormat="1" applyFont="1" applyFill="1" applyBorder="1" applyAlignment="1">
      <alignment horizontal="center" vertical="center" wrapText="1"/>
    </xf>
    <xf numFmtId="4" fontId="14" fillId="17" borderId="0" xfId="0" applyNumberFormat="1" applyFont="1" applyFill="1" applyAlignment="1">
      <alignment horizontal="center" vertical="center" wrapText="1"/>
    </xf>
    <xf numFmtId="4" fontId="14" fillId="17" borderId="8" xfId="0" applyNumberFormat="1" applyFont="1" applyFill="1" applyBorder="1" applyAlignment="1">
      <alignment horizontal="center" vertical="center" wrapText="1"/>
    </xf>
    <xf numFmtId="0" fontId="14" fillId="12" borderId="24" xfId="0" applyFont="1" applyFill="1" applyBorder="1" applyAlignment="1">
      <alignment horizontal="center" vertical="center" wrapText="1"/>
    </xf>
    <xf numFmtId="4" fontId="14" fillId="0" borderId="28" xfId="0" applyNumberFormat="1" applyFont="1" applyBorder="1" applyAlignment="1">
      <alignment horizontal="center" vertical="center" wrapText="1"/>
    </xf>
    <xf numFmtId="0" fontId="14" fillId="13" borderId="17" xfId="0" applyFont="1" applyFill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4" fillId="11" borderId="35" xfId="0" applyFont="1" applyFill="1" applyBorder="1" applyAlignment="1">
      <alignment horizontal="center" vertical="center" wrapText="1"/>
    </xf>
    <xf numFmtId="0" fontId="14" fillId="11" borderId="17" xfId="0" applyFont="1" applyFill="1" applyBorder="1" applyAlignment="1">
      <alignment horizontal="center" vertical="center" wrapText="1"/>
    </xf>
    <xf numFmtId="0" fontId="14" fillId="10" borderId="25" xfId="0" applyFont="1" applyFill="1" applyBorder="1" applyAlignment="1">
      <alignment horizontal="center" vertical="center" wrapText="1"/>
    </xf>
    <xf numFmtId="0" fontId="14" fillId="10" borderId="28" xfId="0" applyFont="1" applyFill="1" applyBorder="1" applyAlignment="1">
      <alignment horizontal="center" vertical="center" wrapText="1"/>
    </xf>
    <xf numFmtId="4" fontId="14" fillId="18" borderId="28" xfId="0" applyNumberFormat="1" applyFont="1" applyFill="1" applyBorder="1" applyAlignment="1">
      <alignment horizontal="center" vertical="center" wrapText="1"/>
    </xf>
    <xf numFmtId="4" fontId="14" fillId="18" borderId="21" xfId="0" applyNumberFormat="1" applyFont="1" applyFill="1" applyBorder="1" applyAlignment="1">
      <alignment horizontal="center" vertical="center" wrapText="1"/>
    </xf>
    <xf numFmtId="0" fontId="14" fillId="19" borderId="10" xfId="0" applyFont="1" applyFill="1" applyBorder="1" applyAlignment="1">
      <alignment horizontal="center" vertical="center" wrapText="1"/>
    </xf>
    <xf numFmtId="0" fontId="14" fillId="19" borderId="11" xfId="0" applyFont="1" applyFill="1" applyBorder="1" applyAlignment="1">
      <alignment horizontal="center" vertical="center" wrapText="1"/>
    </xf>
    <xf numFmtId="0" fontId="14" fillId="19" borderId="12" xfId="0" applyFont="1" applyFill="1" applyBorder="1" applyAlignment="1">
      <alignment horizontal="center" vertical="center" wrapText="1"/>
    </xf>
    <xf numFmtId="0" fontId="14" fillId="18" borderId="0" xfId="0" applyFont="1" applyFill="1" applyAlignment="1">
      <alignment horizontal="center" vertical="center" wrapText="1"/>
    </xf>
    <xf numFmtId="0" fontId="14" fillId="18" borderId="28" xfId="0" applyFont="1" applyFill="1" applyBorder="1" applyAlignment="1">
      <alignment horizontal="center" vertical="center" wrapText="1"/>
    </xf>
    <xf numFmtId="0" fontId="14" fillId="18" borderId="23" xfId="0" applyFont="1" applyFill="1" applyBorder="1" applyAlignment="1">
      <alignment horizontal="center" vertical="center" wrapText="1"/>
    </xf>
    <xf numFmtId="0" fontId="14" fillId="18" borderId="16" xfId="0" applyFont="1" applyFill="1" applyBorder="1" applyAlignment="1">
      <alignment horizontal="center" vertical="center" wrapText="1"/>
    </xf>
    <xf numFmtId="0" fontId="14" fillId="18" borderId="24" xfId="0" applyFont="1" applyFill="1" applyBorder="1" applyAlignment="1">
      <alignment horizontal="center" vertical="center" wrapText="1"/>
    </xf>
    <xf numFmtId="0" fontId="14" fillId="18" borderId="21" xfId="0" applyFont="1" applyFill="1" applyBorder="1" applyAlignment="1">
      <alignment horizontal="center" vertical="center" wrapText="1"/>
    </xf>
    <xf numFmtId="0" fontId="14" fillId="18" borderId="30" xfId="0" applyFont="1" applyFill="1" applyBorder="1" applyAlignment="1">
      <alignment horizontal="center" vertical="center" wrapText="1"/>
    </xf>
    <xf numFmtId="0" fontId="14" fillId="18" borderId="31" xfId="0" applyFont="1" applyFill="1" applyBorder="1" applyAlignment="1">
      <alignment horizontal="center" vertical="center" wrapText="1"/>
    </xf>
    <xf numFmtId="0" fontId="14" fillId="11" borderId="8" xfId="0" applyFont="1" applyFill="1" applyBorder="1" applyAlignment="1">
      <alignment horizontal="center" vertical="center" wrapText="1"/>
    </xf>
    <xf numFmtId="0" fontId="14" fillId="15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4" fillId="11" borderId="2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14" fillId="12" borderId="25" xfId="0" applyFont="1" applyFill="1" applyBorder="1" applyAlignment="1">
      <alignment horizontal="center" vertical="center" wrapText="1"/>
    </xf>
    <xf numFmtId="0" fontId="14" fillId="12" borderId="20" xfId="0" applyFont="1" applyFill="1" applyBorder="1" applyAlignment="1">
      <alignment horizontal="center" vertical="center" wrapText="1"/>
    </xf>
    <xf numFmtId="0" fontId="14" fillId="12" borderId="22" xfId="0" applyFont="1" applyFill="1" applyBorder="1" applyAlignment="1">
      <alignment horizontal="center" vertical="center" wrapText="1"/>
    </xf>
    <xf numFmtId="0" fontId="14" fillId="12" borderId="24" xfId="0" applyFont="1" applyFill="1" applyBorder="1" applyAlignment="1">
      <alignment horizontal="center" vertical="center" wrapText="1"/>
    </xf>
    <xf numFmtId="0" fontId="14" fillId="12" borderId="0" xfId="0" applyFont="1" applyFill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4" fillId="12" borderId="21" xfId="0" applyFont="1" applyFill="1" applyBorder="1" applyAlignment="1">
      <alignment horizontal="center" vertical="center" wrapText="1"/>
    </xf>
    <xf numFmtId="0" fontId="14" fillId="9" borderId="20" xfId="0" applyFont="1" applyFill="1" applyBorder="1" applyAlignment="1">
      <alignment horizontal="center" vertical="center" wrapText="1"/>
    </xf>
    <xf numFmtId="0" fontId="14" fillId="9" borderId="22" xfId="0" applyFont="1" applyFill="1" applyBorder="1" applyAlignment="1">
      <alignment horizontal="center" vertical="center" wrapText="1"/>
    </xf>
    <xf numFmtId="0" fontId="14" fillId="9" borderId="8" xfId="0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 wrapText="1"/>
    </xf>
    <xf numFmtId="0" fontId="14" fillId="12" borderId="23" xfId="0" applyFont="1" applyFill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4" fontId="14" fillId="0" borderId="20" xfId="0" applyNumberFormat="1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4" fontId="14" fillId="0" borderId="22" xfId="0" applyNumberFormat="1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4" fontId="14" fillId="0" borderId="28" xfId="0" applyNumberFormat="1" applyFont="1" applyBorder="1" applyAlignment="1">
      <alignment horizontal="center" vertical="center" wrapText="1"/>
    </xf>
    <xf numFmtId="4" fontId="14" fillId="0" borderId="23" xfId="0" applyNumberFormat="1" applyFont="1" applyBorder="1" applyAlignment="1">
      <alignment horizontal="center" vertical="center" wrapText="1"/>
    </xf>
    <xf numFmtId="4" fontId="14" fillId="0" borderId="25" xfId="0" applyNumberFormat="1" applyFont="1" applyBorder="1" applyAlignment="1">
      <alignment horizontal="center" vertical="center" wrapText="1"/>
    </xf>
    <xf numFmtId="0" fontId="14" fillId="16" borderId="24" xfId="0" applyFont="1" applyFill="1" applyBorder="1" applyAlignment="1">
      <alignment horizontal="center" vertical="center" wrapText="1"/>
    </xf>
    <xf numFmtId="0" fontId="14" fillId="16" borderId="0" xfId="0" applyFont="1" applyFill="1" applyAlignment="1">
      <alignment horizontal="center" vertical="center" wrapText="1"/>
    </xf>
    <xf numFmtId="0" fontId="14" fillId="16" borderId="11" xfId="0" applyFont="1" applyFill="1" applyBorder="1" applyAlignment="1">
      <alignment horizontal="center" vertical="center" wrapText="1"/>
    </xf>
    <xf numFmtId="0" fontId="14" fillId="16" borderId="35" xfId="0" applyFont="1" applyFill="1" applyBorder="1" applyAlignment="1">
      <alignment horizontal="center" vertical="center" wrapText="1"/>
    </xf>
    <xf numFmtId="0" fontId="14" fillId="16" borderId="8" xfId="0" applyFont="1" applyFill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4" fontId="14" fillId="0" borderId="21" xfId="0" applyNumberFormat="1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4" fontId="16" fillId="0" borderId="0" xfId="0" applyNumberFormat="1" applyFont="1" applyAlignment="1">
      <alignment horizontal="center" vertical="center" wrapText="1"/>
    </xf>
    <xf numFmtId="4" fontId="16" fillId="0" borderId="21" xfId="0" applyNumberFormat="1" applyFont="1" applyBorder="1" applyAlignment="1">
      <alignment horizontal="center" vertical="center" wrapText="1"/>
    </xf>
    <xf numFmtId="4" fontId="16" fillId="0" borderId="26" xfId="0" applyNumberFormat="1" applyFont="1" applyBorder="1" applyAlignment="1">
      <alignment horizontal="center" vertical="center" wrapText="1"/>
    </xf>
    <xf numFmtId="4" fontId="16" fillId="0" borderId="31" xfId="0" applyNumberFormat="1" applyFont="1" applyBorder="1" applyAlignment="1">
      <alignment horizontal="center" vertical="center" wrapText="1"/>
    </xf>
    <xf numFmtId="4" fontId="16" fillId="0" borderId="30" xfId="0" applyNumberFormat="1" applyFont="1" applyBorder="1" applyAlignment="1">
      <alignment horizontal="center" vertical="center" wrapText="1"/>
    </xf>
    <xf numFmtId="0" fontId="14" fillId="13" borderId="35" xfId="0" applyFont="1" applyFill="1" applyBorder="1" applyAlignment="1">
      <alignment horizontal="center" vertical="center" wrapText="1"/>
    </xf>
    <xf numFmtId="0" fontId="14" fillId="13" borderId="8" xfId="0" applyFont="1" applyFill="1" applyBorder="1" applyAlignment="1">
      <alignment horizontal="center" vertical="center" wrapText="1"/>
    </xf>
    <xf numFmtId="0" fontId="14" fillId="13" borderId="17" xfId="0" applyFont="1" applyFill="1" applyBorder="1" applyAlignment="1">
      <alignment horizontal="center" vertical="center" wrapText="1"/>
    </xf>
    <xf numFmtId="0" fontId="14" fillId="9" borderId="17" xfId="0" applyFont="1" applyFill="1" applyBorder="1" applyAlignment="1">
      <alignment horizontal="center" vertical="center" wrapText="1"/>
    </xf>
    <xf numFmtId="0" fontId="14" fillId="14" borderId="8" xfId="0" applyFont="1" applyFill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4" fillId="13" borderId="25" xfId="0" applyFont="1" applyFill="1" applyBorder="1" applyAlignment="1">
      <alignment horizontal="center" vertical="center" wrapText="1"/>
    </xf>
    <xf numFmtId="0" fontId="14" fillId="13" borderId="20" xfId="0" applyFont="1" applyFill="1" applyBorder="1" applyAlignment="1">
      <alignment horizontal="center" vertical="center" wrapText="1"/>
    </xf>
    <xf numFmtId="0" fontId="14" fillId="13" borderId="22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4" fillId="10" borderId="10" xfId="0" applyFont="1" applyFill="1" applyBorder="1" applyAlignment="1">
      <alignment horizontal="center" vertical="center" wrapText="1"/>
    </xf>
    <xf numFmtId="0" fontId="14" fillId="10" borderId="5" xfId="0" applyFont="1" applyFill="1" applyBorder="1" applyAlignment="1">
      <alignment horizontal="center" vertical="center" wrapText="1"/>
    </xf>
    <xf numFmtId="0" fontId="14" fillId="10" borderId="12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4" fillId="15" borderId="18" xfId="0" applyFont="1" applyFill="1" applyBorder="1" applyAlignment="1">
      <alignment horizontal="center" vertical="center" wrapText="1"/>
    </xf>
    <xf numFmtId="0" fontId="14" fillId="15" borderId="34" xfId="0" applyFont="1" applyFill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4" fillId="14" borderId="13" xfId="0" applyFont="1" applyFill="1" applyBorder="1" applyAlignment="1">
      <alignment horizontal="center" vertical="center" wrapText="1"/>
    </xf>
    <xf numFmtId="0" fontId="14" fillId="14" borderId="3" xfId="0" applyFont="1" applyFill="1" applyBorder="1" applyAlignment="1">
      <alignment horizontal="center" vertical="center" wrapText="1"/>
    </xf>
    <xf numFmtId="0" fontId="14" fillId="14" borderId="0" xfId="0" applyFont="1" applyFill="1" applyAlignment="1">
      <alignment horizontal="center" vertical="center" wrapText="1"/>
    </xf>
    <xf numFmtId="0" fontId="14" fillId="14" borderId="4" xfId="0" applyFont="1" applyFill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16" borderId="25" xfId="0" applyFont="1" applyFill="1" applyBorder="1" applyAlignment="1">
      <alignment horizontal="center" vertical="center" wrapText="1"/>
    </xf>
    <xf numFmtId="0" fontId="14" fillId="16" borderId="20" xfId="0" applyFont="1" applyFill="1" applyBorder="1" applyAlignment="1">
      <alignment horizontal="center" vertical="center" wrapText="1"/>
    </xf>
    <xf numFmtId="0" fontId="14" fillId="16" borderId="22" xfId="0" applyFont="1" applyFill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42" xfId="0" applyFont="1" applyBorder="1" applyAlignment="1">
      <alignment horizontal="center" vertical="center" wrapText="1"/>
    </xf>
    <xf numFmtId="0" fontId="14" fillId="11" borderId="25" xfId="0" applyFont="1" applyFill="1" applyBorder="1" applyAlignment="1">
      <alignment horizontal="center" vertical="center" wrapText="1"/>
    </xf>
    <xf numFmtId="0" fontId="14" fillId="11" borderId="22" xfId="0" applyFont="1" applyFill="1" applyBorder="1" applyAlignment="1">
      <alignment horizontal="center" vertical="center" wrapText="1"/>
    </xf>
    <xf numFmtId="0" fontId="14" fillId="11" borderId="35" xfId="0" applyFont="1" applyFill="1" applyBorder="1" applyAlignment="1">
      <alignment horizontal="center" vertical="center" wrapText="1"/>
    </xf>
    <xf numFmtId="0" fontId="14" fillId="11" borderId="17" xfId="0" applyFont="1" applyFill="1" applyBorder="1" applyAlignment="1">
      <alignment horizontal="center" vertical="center" wrapText="1"/>
    </xf>
    <xf numFmtId="0" fontId="14" fillId="13" borderId="12" xfId="0" applyFont="1" applyFill="1" applyBorder="1" applyAlignment="1">
      <alignment horizontal="center" vertical="center" wrapText="1"/>
    </xf>
    <xf numFmtId="4" fontId="16" fillId="0" borderId="25" xfId="0" applyNumberFormat="1" applyFont="1" applyBorder="1" applyAlignment="1">
      <alignment horizontal="center" vertical="center" wrapText="1"/>
    </xf>
    <xf numFmtId="4" fontId="16" fillId="0" borderId="28" xfId="0" applyNumberFormat="1" applyFont="1" applyBorder="1" applyAlignment="1">
      <alignment horizontal="center" vertical="center" wrapText="1"/>
    </xf>
    <xf numFmtId="0" fontId="16" fillId="0" borderId="44" xfId="0" applyFont="1" applyBorder="1" applyAlignment="1">
      <alignment horizontal="center" vertical="center" wrapText="1"/>
    </xf>
    <xf numFmtId="0" fontId="16" fillId="0" borderId="45" xfId="0" applyFont="1" applyBorder="1" applyAlignment="1">
      <alignment horizontal="center" vertical="center" wrapText="1"/>
    </xf>
    <xf numFmtId="0" fontId="14" fillId="10" borderId="25" xfId="0" applyFont="1" applyFill="1" applyBorder="1" applyAlignment="1">
      <alignment horizontal="center" vertical="center" wrapText="1"/>
    </xf>
    <xf numFmtId="0" fontId="14" fillId="10" borderId="20" xfId="0" applyFont="1" applyFill="1" applyBorder="1" applyAlignment="1">
      <alignment horizontal="center" vertical="center" wrapText="1"/>
    </xf>
    <xf numFmtId="0" fontId="14" fillId="10" borderId="22" xfId="0" applyFont="1" applyFill="1" applyBorder="1" applyAlignment="1">
      <alignment horizontal="center" vertical="center" wrapText="1"/>
    </xf>
    <xf numFmtId="0" fontId="14" fillId="10" borderId="28" xfId="0" applyFont="1" applyFill="1" applyBorder="1" applyAlignment="1">
      <alignment horizontal="center" vertical="center" wrapText="1"/>
    </xf>
    <xf numFmtId="0" fontId="14" fillId="10" borderId="21" xfId="0" applyFont="1" applyFill="1" applyBorder="1" applyAlignment="1">
      <alignment horizontal="center" vertical="center" wrapText="1"/>
    </xf>
    <xf numFmtId="0" fontId="14" fillId="10" borderId="23" xfId="0" applyFont="1" applyFill="1" applyBorder="1" applyAlignment="1">
      <alignment horizontal="center" vertical="center" wrapText="1"/>
    </xf>
    <xf numFmtId="0" fontId="14" fillId="16" borderId="21" xfId="0" applyFont="1" applyFill="1" applyBorder="1" applyAlignment="1">
      <alignment horizontal="center" vertical="center" wrapText="1"/>
    </xf>
    <xf numFmtId="0" fontId="14" fillId="11" borderId="8" xfId="0" applyFont="1" applyFill="1" applyBorder="1" applyAlignment="1">
      <alignment horizontal="center" vertical="center" wrapText="1"/>
    </xf>
    <xf numFmtId="0" fontId="14" fillId="15" borderId="46" xfId="0" applyFont="1" applyFill="1" applyBorder="1" applyAlignment="1">
      <alignment horizontal="center" vertical="center" wrapText="1"/>
    </xf>
    <xf numFmtId="0" fontId="14" fillId="10" borderId="24" xfId="0" applyFont="1" applyFill="1" applyBorder="1" applyAlignment="1">
      <alignment horizontal="center" vertical="center" wrapText="1"/>
    </xf>
    <xf numFmtId="0" fontId="14" fillId="10" borderId="16" xfId="0" applyFont="1" applyFill="1" applyBorder="1" applyAlignment="1">
      <alignment horizontal="center" vertical="center" wrapText="1"/>
    </xf>
    <xf numFmtId="0" fontId="14" fillId="10" borderId="35" xfId="0" applyFont="1" applyFill="1" applyBorder="1" applyAlignment="1">
      <alignment horizontal="center" vertical="center" wrapText="1"/>
    </xf>
    <xf numFmtId="0" fontId="14" fillId="10" borderId="17" xfId="0" applyFont="1" applyFill="1" applyBorder="1" applyAlignment="1">
      <alignment horizontal="center" vertical="center" wrapText="1"/>
    </xf>
    <xf numFmtId="4" fontId="14" fillId="0" borderId="24" xfId="0" applyNumberFormat="1" applyFont="1" applyBorder="1" applyAlignment="1">
      <alignment horizontal="center" vertical="center" wrapText="1"/>
    </xf>
    <xf numFmtId="4" fontId="14" fillId="0" borderId="16" xfId="0" applyNumberFormat="1" applyFont="1" applyBorder="1" applyAlignment="1">
      <alignment horizontal="center" vertical="center" wrapText="1"/>
    </xf>
    <xf numFmtId="0" fontId="14" fillId="12" borderId="28" xfId="0" applyFont="1" applyFill="1" applyBorder="1" applyAlignment="1">
      <alignment horizontal="center" vertical="center" wrapText="1"/>
    </xf>
    <xf numFmtId="4" fontId="14" fillId="0" borderId="0" xfId="0" applyNumberFormat="1" applyFont="1" applyAlignment="1">
      <alignment horizontal="center" vertical="center" wrapText="1"/>
    </xf>
    <xf numFmtId="0" fontId="14" fillId="11" borderId="20" xfId="0" applyFont="1" applyFill="1" applyBorder="1" applyAlignment="1">
      <alignment horizontal="center" vertical="center" wrapText="1"/>
    </xf>
    <xf numFmtId="0" fontId="14" fillId="9" borderId="35" xfId="0" applyFont="1" applyFill="1" applyBorder="1" applyAlignment="1">
      <alignment horizontal="center" vertical="center" wrapText="1"/>
    </xf>
    <xf numFmtId="0" fontId="14" fillId="0" borderId="46" xfId="0" applyFont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16" fillId="0" borderId="38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4" fontId="16" fillId="0" borderId="24" xfId="0" applyNumberFormat="1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4" fillId="14" borderId="25" xfId="0" applyFont="1" applyFill="1" applyBorder="1" applyAlignment="1">
      <alignment horizontal="center" vertical="center" wrapText="1"/>
    </xf>
    <xf numFmtId="0" fontId="14" fillId="14" borderId="22" xfId="0" applyFont="1" applyFill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</cellXfs>
  <cellStyles count="21">
    <cellStyle name="Accent" xfId="2" xr:uid="{2CBA51FF-8146-4752-85A6-901307C1BFCF}"/>
    <cellStyle name="Accent 1" xfId="3" xr:uid="{9150D224-620A-4F36-9BCA-FFF1CC1CA2D0}"/>
    <cellStyle name="Accent 2" xfId="4" xr:uid="{B3A03292-72B0-4DB1-AE88-90037B549376}"/>
    <cellStyle name="Accent 3" xfId="5" xr:uid="{96EA04C5-72B0-47C1-9E4F-B28EF4860031}"/>
    <cellStyle name="Bad" xfId="6" xr:uid="{799B5168-EF97-4C3C-A7BA-51108751FB2A}"/>
    <cellStyle name="Default" xfId="7" xr:uid="{6674947A-AFA2-48DB-A4D9-E79A6A332C1B}"/>
    <cellStyle name="Error" xfId="8" xr:uid="{AF7525F1-BA1F-4BF7-BDA0-A735FFAB558A}"/>
    <cellStyle name="Footnote" xfId="9" xr:uid="{026C36BF-A106-45DE-AF16-A0E064E24095}"/>
    <cellStyle name="Good" xfId="10" xr:uid="{17D5FD18-C884-4E3B-9C50-2F544C31070D}"/>
    <cellStyle name="Heading" xfId="11" xr:uid="{A2B734A6-D4A5-465F-B09E-B789D8004DAF}"/>
    <cellStyle name="Heading 1" xfId="12" xr:uid="{400CB76B-465E-4BF2-8231-B109FBEAD566}"/>
    <cellStyle name="Heading 2" xfId="13" xr:uid="{7A987FFE-FBDF-42EB-8CEC-7BA2928DF935}"/>
    <cellStyle name="Hyperlink" xfId="14" xr:uid="{B75DB188-24FD-4864-8D8D-87D1B5AC9EF9}"/>
    <cellStyle name="Neutral" xfId="15" xr:uid="{2DB52466-1D18-456F-A845-E1C84F15A436}"/>
    <cellStyle name="Normal" xfId="0" builtinId="0" customBuiltin="1"/>
    <cellStyle name="Note" xfId="1" builtinId="10" customBuiltin="1"/>
    <cellStyle name="Pourcentage" xfId="20" builtinId="5"/>
    <cellStyle name="Result" xfId="16" xr:uid="{E647DC3D-A0A2-40A5-82F5-8520B9DEBBED}"/>
    <cellStyle name="Status" xfId="17" xr:uid="{4CB26637-1EC0-4EEE-8980-047109E3D5AE}"/>
    <cellStyle name="Text" xfId="18" xr:uid="{DEE900B4-5FE9-416B-9AC1-02A5B2CEE0B5}"/>
    <cellStyle name="Warning" xfId="19" xr:uid="{59C6B0AF-CE1C-43BB-B544-F88D9B144055}"/>
  </cellStyles>
  <dxfs count="42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EEE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1501E-4B6C-4B8E-8439-4EF01F44668A}">
  <dimension ref="A1:G1048575"/>
  <sheetViews>
    <sheetView tabSelected="1" workbookViewId="0">
      <selection sqref="A1:G1"/>
    </sheetView>
  </sheetViews>
  <sheetFormatPr baseColWidth="10" defaultColWidth="12.140625" defaultRowHeight="28.35" customHeight="1" x14ac:dyDescent="0.2"/>
  <cols>
    <col min="1" max="7" width="32.5703125" style="3" customWidth="1"/>
    <col min="8" max="8" width="12.140625" style="3" customWidth="1"/>
    <col min="9" max="16384" width="12.140625" style="3"/>
  </cols>
  <sheetData>
    <row r="1" spans="1:7" ht="28.35" customHeight="1" x14ac:dyDescent="0.2">
      <c r="A1" s="104" t="s">
        <v>86</v>
      </c>
      <c r="B1" s="104"/>
      <c r="C1" s="104"/>
      <c r="D1" s="104"/>
      <c r="E1" s="104"/>
      <c r="F1" s="104"/>
      <c r="G1" s="104"/>
    </row>
    <row r="2" spans="1:7" ht="28.35" customHeight="1" x14ac:dyDescent="0.2">
      <c r="A2" s="105" t="s">
        <v>87</v>
      </c>
      <c r="B2" s="105"/>
      <c r="C2" s="105"/>
      <c r="D2" s="105"/>
      <c r="E2" s="105"/>
      <c r="F2" s="105"/>
      <c r="G2" s="105"/>
    </row>
    <row r="3" spans="1:7" ht="28.35" customHeight="1" x14ac:dyDescent="0.2">
      <c r="A3" s="103" t="s">
        <v>105</v>
      </c>
      <c r="B3" s="103"/>
      <c r="C3" s="103"/>
      <c r="D3" s="103"/>
      <c r="E3" s="103"/>
      <c r="F3" s="103"/>
      <c r="G3" s="103"/>
    </row>
    <row r="4" spans="1:7" ht="28.35" customHeight="1" x14ac:dyDescent="0.2">
      <c r="A4" s="106"/>
      <c r="B4" s="106"/>
      <c r="C4" s="106"/>
      <c r="D4" s="106"/>
      <c r="E4" s="106"/>
      <c r="F4" s="106"/>
      <c r="G4" s="106"/>
    </row>
    <row r="5" spans="1:7" ht="28.35" customHeight="1" x14ac:dyDescent="0.2">
      <c r="A5" s="103" t="s">
        <v>0</v>
      </c>
      <c r="B5" s="103"/>
      <c r="C5" s="103"/>
      <c r="D5" s="103"/>
      <c r="E5" s="103"/>
      <c r="F5" s="103"/>
      <c r="G5" s="103"/>
    </row>
    <row r="6" spans="1:7" ht="28.35" customHeight="1" x14ac:dyDescent="0.2">
      <c r="A6" s="103" t="s">
        <v>179</v>
      </c>
      <c r="B6" s="103"/>
      <c r="C6" s="103"/>
      <c r="D6" s="103"/>
      <c r="E6" s="103"/>
      <c r="F6" s="103"/>
      <c r="G6" s="103"/>
    </row>
    <row r="7" spans="1:7" ht="28.35" customHeight="1" x14ac:dyDescent="0.2">
      <c r="A7" s="103" t="s">
        <v>147</v>
      </c>
      <c r="B7" s="103"/>
      <c r="C7" s="103"/>
      <c r="D7" s="103"/>
      <c r="E7" s="103"/>
      <c r="F7" s="103"/>
      <c r="G7" s="103"/>
    </row>
    <row r="8" spans="1:7" ht="28.35" customHeight="1" x14ac:dyDescent="0.2">
      <c r="A8" s="103" t="s">
        <v>1</v>
      </c>
      <c r="B8" s="103"/>
      <c r="C8" s="103"/>
      <c r="D8" s="103"/>
      <c r="E8" s="103"/>
      <c r="F8" s="103"/>
      <c r="G8" s="103"/>
    </row>
    <row r="9" spans="1:7" ht="28.35" customHeight="1" x14ac:dyDescent="0.2">
      <c r="A9" s="106"/>
      <c r="B9" s="106"/>
      <c r="C9" s="106"/>
      <c r="D9" s="106"/>
      <c r="E9" s="106"/>
      <c r="F9" s="106"/>
      <c r="G9" s="106"/>
    </row>
    <row r="10" spans="1:7" ht="28.35" customHeight="1" x14ac:dyDescent="0.2">
      <c r="A10" s="108" t="s">
        <v>2</v>
      </c>
      <c r="B10" s="108"/>
      <c r="C10" s="108"/>
      <c r="D10" s="108"/>
      <c r="E10" s="108"/>
      <c r="F10" s="108"/>
      <c r="G10" s="108"/>
    </row>
    <row r="11" spans="1:7" ht="28.35" customHeight="1" x14ac:dyDescent="0.2">
      <c r="A11" s="42" t="s">
        <v>3</v>
      </c>
      <c r="B11" s="28" t="s">
        <v>4</v>
      </c>
      <c r="C11" s="13" t="s">
        <v>5</v>
      </c>
      <c r="D11" s="13" t="s">
        <v>6</v>
      </c>
      <c r="E11" s="13" t="s">
        <v>7</v>
      </c>
      <c r="F11" s="13" t="s">
        <v>8</v>
      </c>
      <c r="G11" s="2" t="s">
        <v>9</v>
      </c>
    </row>
    <row r="12" spans="1:7" ht="28.35" customHeight="1" x14ac:dyDescent="0.2">
      <c r="A12" s="4" t="s">
        <v>10</v>
      </c>
      <c r="B12" s="76">
        <f>IF(COUNTA(B13)=0,S5_FISE!E38,B13)</f>
        <v>0</v>
      </c>
      <c r="C12" s="77">
        <f>IF(COUNTA(C13)=0,S6_FISE!E40,C13)</f>
        <v>0</v>
      </c>
      <c r="D12" s="77">
        <f>IF(COUNTA(D13)=0,S7_FISE!E5,D13)</f>
        <v>0</v>
      </c>
      <c r="E12" s="77">
        <f>IF(COUNTA(E13)=0,S8_FISE!E43,E13)</f>
        <v>0</v>
      </c>
      <c r="F12" s="77">
        <f>IF(COUNTA(F13)=0,S9_FISE!E26,F13)</f>
        <v>0</v>
      </c>
      <c r="G12" s="77">
        <f>IF(COUNTA(G13)=0,S10_FISE!E3,G13)</f>
        <v>0</v>
      </c>
    </row>
    <row r="13" spans="1:7" ht="28.35" customHeight="1" x14ac:dyDescent="0.2">
      <c r="A13" s="44" t="s">
        <v>11</v>
      </c>
      <c r="B13" s="90"/>
      <c r="C13" s="91"/>
      <c r="D13" s="91"/>
      <c r="E13" s="91"/>
      <c r="F13" s="91"/>
      <c r="G13" s="92"/>
    </row>
    <row r="14" spans="1:7" ht="28.35" customHeight="1" x14ac:dyDescent="0.2">
      <c r="A14" s="106"/>
      <c r="B14" s="106"/>
      <c r="C14" s="106"/>
      <c r="D14" s="106"/>
      <c r="E14" s="106"/>
      <c r="F14" s="106"/>
      <c r="G14" s="106"/>
    </row>
    <row r="15" spans="1:7" ht="28.35" customHeight="1" x14ac:dyDescent="0.2">
      <c r="A15" s="109" t="s">
        <v>12</v>
      </c>
      <c r="B15" s="109"/>
      <c r="C15" s="109"/>
      <c r="D15" s="109"/>
      <c r="E15" s="109"/>
      <c r="F15" s="109"/>
      <c r="G15" s="109"/>
    </row>
    <row r="16" spans="1:7" ht="28.35" customHeight="1" x14ac:dyDescent="0.2">
      <c r="A16" s="42" t="s">
        <v>3</v>
      </c>
      <c r="B16" s="28" t="s">
        <v>4</v>
      </c>
      <c r="C16" s="13" t="s">
        <v>5</v>
      </c>
      <c r="D16" s="13" t="s">
        <v>6</v>
      </c>
      <c r="E16" s="13" t="s">
        <v>7</v>
      </c>
      <c r="F16" s="13" t="s">
        <v>8</v>
      </c>
      <c r="G16" s="2" t="s">
        <v>9</v>
      </c>
    </row>
    <row r="17" spans="1:7" ht="28.35" customHeight="1" x14ac:dyDescent="0.2">
      <c r="A17" s="4" t="s">
        <v>10</v>
      </c>
      <c r="B17" s="76">
        <f>IF(COUNTA(B18)=0,S5_FISA!E17,B18)</f>
        <v>0</v>
      </c>
      <c r="C17" s="77">
        <f>IF(COUNTA(C18)=0,S6_FISA!E16,C18)</f>
        <v>0</v>
      </c>
      <c r="D17" s="77"/>
      <c r="E17" s="77"/>
      <c r="F17" s="77"/>
      <c r="G17" s="78"/>
    </row>
    <row r="18" spans="1:7" ht="28.35" customHeight="1" x14ac:dyDescent="0.2">
      <c r="A18" s="44" t="s">
        <v>11</v>
      </c>
      <c r="B18" s="90"/>
      <c r="C18" s="91"/>
      <c r="D18" s="91"/>
      <c r="E18" s="91"/>
      <c r="F18" s="91"/>
      <c r="G18" s="92"/>
    </row>
    <row r="19" spans="1:7" ht="28.35" customHeight="1" x14ac:dyDescent="0.2">
      <c r="A19" s="106"/>
      <c r="B19" s="106"/>
      <c r="C19" s="106"/>
      <c r="D19" s="106"/>
      <c r="E19" s="106"/>
      <c r="F19" s="106"/>
      <c r="G19" s="106"/>
    </row>
    <row r="20" spans="1:7" ht="28.35" customHeight="1" x14ac:dyDescent="0.2">
      <c r="A20" s="107" t="s">
        <v>13</v>
      </c>
      <c r="B20" s="107"/>
      <c r="C20" s="107"/>
      <c r="D20" s="107"/>
      <c r="E20" s="107"/>
      <c r="F20" s="107"/>
      <c r="G20" s="107"/>
    </row>
    <row r="21" spans="1:7" ht="28.35" customHeight="1" x14ac:dyDescent="0.2">
      <c r="A21" s="42" t="s">
        <v>13</v>
      </c>
      <c r="B21" s="13" t="s">
        <v>14</v>
      </c>
      <c r="C21" s="13" t="s">
        <v>15</v>
      </c>
      <c r="D21" s="13" t="s">
        <v>16</v>
      </c>
      <c r="E21" s="13" t="s">
        <v>17</v>
      </c>
      <c r="F21" s="13"/>
      <c r="G21" s="2"/>
    </row>
    <row r="22" spans="1:7" ht="28.35" customHeight="1" x14ac:dyDescent="0.2">
      <c r="A22" s="43" t="s">
        <v>18</v>
      </c>
      <c r="B22" s="3" t="str">
        <f>IF(B23,"Valide","Valide pas")</f>
        <v>Valide pas</v>
      </c>
      <c r="C22" s="3" t="str">
        <f t="shared" ref="C22:E22" si="0">IF(C23,"Valide","Valide pas")</f>
        <v>Valide pas</v>
      </c>
      <c r="D22" s="3" t="str">
        <f t="shared" si="0"/>
        <v>Valide pas</v>
      </c>
      <c r="E22" s="3" t="str">
        <f t="shared" si="0"/>
        <v>Valide pas</v>
      </c>
      <c r="G22" s="5"/>
    </row>
    <row r="23" spans="1:7" ht="28.35" customHeight="1" x14ac:dyDescent="0.2">
      <c r="A23" s="44" t="s">
        <v>19</v>
      </c>
      <c r="B23" s="91">
        <v>0</v>
      </c>
      <c r="C23" s="91">
        <v>0</v>
      </c>
      <c r="D23" s="91">
        <v>0</v>
      </c>
      <c r="E23" s="91">
        <v>0</v>
      </c>
      <c r="F23" s="9"/>
      <c r="G23" s="6"/>
    </row>
    <row r="1048571" ht="12.75" customHeight="1" x14ac:dyDescent="0.2"/>
    <row r="1048572" ht="12.75" customHeight="1" x14ac:dyDescent="0.2"/>
    <row r="1048573" ht="12.75" customHeight="1" x14ac:dyDescent="0.2"/>
    <row r="1048574" ht="12.75" customHeight="1" x14ac:dyDescent="0.2"/>
    <row r="1048575" ht="12.75" customHeight="1" x14ac:dyDescent="0.2"/>
  </sheetData>
  <mergeCells count="14">
    <mergeCell ref="A6:G6"/>
    <mergeCell ref="A19:G19"/>
    <mergeCell ref="A20:G20"/>
    <mergeCell ref="A7:G7"/>
    <mergeCell ref="A8:G8"/>
    <mergeCell ref="A9:G9"/>
    <mergeCell ref="A10:G10"/>
    <mergeCell ref="A14:G14"/>
    <mergeCell ref="A15:G15"/>
    <mergeCell ref="A3:G3"/>
    <mergeCell ref="A1:G1"/>
    <mergeCell ref="A2:G2"/>
    <mergeCell ref="A4:G4"/>
    <mergeCell ref="A5:G5"/>
  </mergeCells>
  <conditionalFormatting sqref="B22:G22">
    <cfRule type="cellIs" dxfId="39" priority="28" operator="equal">
      <formula>"Valide pas"</formula>
    </cfRule>
    <cfRule type="cellIs" dxfId="38" priority="29" operator="equal">
      <formula>"Valide"</formula>
    </cfRule>
  </conditionalFormatting>
  <pageMargins left="0" right="0" top="0.39370078740157483" bottom="0.39370078740157483" header="0" footer="0"/>
  <pageSetup paperSize="9" orientation="portrait" r:id="rId1"/>
  <headerFooter>
    <oddHeader>&amp;C&amp;A</oddHeader>
    <oddFooter>&amp;CPage &amp;P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893D9BB2-4655-4C16-9DCD-B0D6C029E6BF}">
            <xm:f>IF(COUNTA(B13)=0,S5_FISE!H38="Valide",B13&gt;=10)</xm:f>
            <x14:dxf>
              <fill>
                <patternFill>
                  <bgColor rgb="FF00B050"/>
                </patternFill>
              </fill>
            </x14:dxf>
          </x14:cfRule>
          <xm:sqref>B12</xm:sqref>
        </x14:conditionalFormatting>
        <x14:conditionalFormatting xmlns:xm="http://schemas.microsoft.com/office/excel/2006/main">
          <x14:cfRule type="expression" priority="7" id="{A6EC004B-5D97-4836-964A-74C937527024}">
            <xm:f>IF(COUNTA(B18)=0,S5_FISA!H17="Valide",B18&gt;=10)</xm:f>
            <x14:dxf>
              <fill>
                <patternFill>
                  <bgColor rgb="FF00B050"/>
                </patternFill>
              </fill>
            </x14:dxf>
          </x14:cfRule>
          <xm:sqref>B17</xm:sqref>
        </x14:conditionalFormatting>
        <x14:conditionalFormatting xmlns:xm="http://schemas.microsoft.com/office/excel/2006/main">
          <x14:cfRule type="expression" priority="2" id="{6E4B8594-A48F-409C-906B-13A5893EB19A}">
            <xm:f>IF(COUNTA(C13)=0,S6_FISE!H40="Valide",C13&gt;=10)</xm:f>
            <x14:dxf>
              <fill>
                <patternFill>
                  <bgColor rgb="FF00B050"/>
                </patternFill>
              </fill>
            </x14:dxf>
          </x14:cfRule>
          <xm:sqref>C12</xm:sqref>
        </x14:conditionalFormatting>
        <x14:conditionalFormatting xmlns:xm="http://schemas.microsoft.com/office/excel/2006/main">
          <x14:cfRule type="expression" priority="8" id="{D85E1A6F-E631-4638-8346-1BE4E6497608}">
            <xm:f>IF(COUNTA(C18)=0,S6_FISA!H16="Valide",C18&gt;=10)</xm:f>
            <x14:dxf>
              <fill>
                <patternFill>
                  <bgColor rgb="FF00B050"/>
                </patternFill>
              </fill>
            </x14:dxf>
          </x14:cfRule>
          <xm:sqref>C17</xm:sqref>
        </x14:conditionalFormatting>
        <x14:conditionalFormatting xmlns:xm="http://schemas.microsoft.com/office/excel/2006/main">
          <x14:cfRule type="expression" priority="3" id="{6B2F360A-2EC9-40B2-B08D-B34581A8870F}">
            <xm:f>IF(COUNTA(D13)=0,S7_FISE!$H$5="Valide",D13&gt;=10)</xm:f>
            <x14:dxf>
              <fill>
                <patternFill>
                  <bgColor rgb="FF00B050"/>
                </patternFill>
              </fill>
            </x14:dxf>
          </x14:cfRule>
          <xm:sqref>D12</xm:sqref>
        </x14:conditionalFormatting>
        <x14:conditionalFormatting xmlns:xm="http://schemas.microsoft.com/office/excel/2006/main">
          <x14:cfRule type="expression" priority="4" id="{0544457F-4531-4F9B-8236-88453F06CDCC}">
            <xm:f>IF(COUNTA(E13)=0,S8_FISE!$H$43="Valide",E13&gt;=10)</xm:f>
            <x14:dxf>
              <fill>
                <patternFill>
                  <bgColor rgb="FF00B050"/>
                </patternFill>
              </fill>
            </x14:dxf>
          </x14:cfRule>
          <xm:sqref>E12</xm:sqref>
        </x14:conditionalFormatting>
        <x14:conditionalFormatting xmlns:xm="http://schemas.microsoft.com/office/excel/2006/main">
          <x14:cfRule type="expression" priority="5" id="{85B75C3B-79FC-4A20-A8E0-5E368D930EAC}">
            <xm:f>IF(COUNTA(F13)=0,S9_FISE!$H$26="Valide",F13&gt;=10)</xm:f>
            <x14:dxf>
              <fill>
                <patternFill>
                  <bgColor rgb="FF00B050"/>
                </patternFill>
              </fill>
            </x14:dxf>
          </x14:cfRule>
          <xm:sqref>F12</xm:sqref>
        </x14:conditionalFormatting>
        <x14:conditionalFormatting xmlns:xm="http://schemas.microsoft.com/office/excel/2006/main">
          <x14:cfRule type="expression" priority="6" id="{156D4CF4-5E03-474F-AA52-A8819E0D107B}">
            <xm:f>IF(COUNTA(G13)=0,S10_FISE!$H$3="Valide",G13&gt;=10)</xm:f>
            <x14:dxf>
              <fill>
                <patternFill>
                  <bgColor rgb="FF00B050"/>
                </patternFill>
              </fill>
            </x14:dxf>
          </x14:cfRule>
          <xm:sqref>G12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B7EF8-6CB6-4011-BE35-ADD2D6D7DB82}">
  <dimension ref="A1:J39"/>
  <sheetViews>
    <sheetView workbookViewId="0"/>
  </sheetViews>
  <sheetFormatPr baseColWidth="10" defaultColWidth="12.140625" defaultRowHeight="30.6" customHeight="1" x14ac:dyDescent="0.2"/>
  <cols>
    <col min="1" max="2" width="35.140625" style="3" customWidth="1"/>
    <col min="3" max="4" width="12.140625" style="3" customWidth="1"/>
    <col min="5" max="5" width="23.42578125" style="3" customWidth="1"/>
    <col min="6" max="6" width="12.140625" style="27" customWidth="1"/>
    <col min="7" max="7" width="12.140625" style="3" customWidth="1"/>
    <col min="8" max="10" width="12.140625" style="7" customWidth="1"/>
    <col min="11" max="11" width="12.140625" style="3" customWidth="1"/>
    <col min="12" max="16384" width="12.140625" style="3"/>
  </cols>
  <sheetData>
    <row r="1" spans="1:10" s="1" customFormat="1" ht="30.6" customHeight="1" x14ac:dyDescent="0.2">
      <c r="A1" s="18" t="s">
        <v>20</v>
      </c>
      <c r="B1" s="37" t="s">
        <v>21</v>
      </c>
      <c r="C1" s="146" t="s">
        <v>22</v>
      </c>
      <c r="D1" s="147"/>
      <c r="E1" s="150" t="s">
        <v>90</v>
      </c>
      <c r="F1" s="151"/>
      <c r="G1" s="152"/>
      <c r="H1" s="148" t="s">
        <v>88</v>
      </c>
      <c r="I1" s="149"/>
    </row>
    <row r="2" spans="1:10" ht="30.6" customHeight="1" x14ac:dyDescent="0.2">
      <c r="A2" s="110" t="s">
        <v>24</v>
      </c>
      <c r="B2" s="113" t="s">
        <v>25</v>
      </c>
      <c r="C2" s="115">
        <v>8</v>
      </c>
      <c r="D2" s="125">
        <v>4</v>
      </c>
      <c r="E2" s="11" t="s">
        <v>123</v>
      </c>
      <c r="F2" s="25">
        <f>1/6</f>
        <v>0.16666666666666666</v>
      </c>
      <c r="G2" s="93"/>
      <c r="H2" s="136">
        <f>G2*F2+G3*F3+G4*F4+G5*F5+G6*F6+G7*F7</f>
        <v>0</v>
      </c>
      <c r="I2" s="134">
        <f>(H2*D2+H8*D8+H10*D10)/C2</f>
        <v>0</v>
      </c>
      <c r="J2" s="3"/>
    </row>
    <row r="3" spans="1:10" ht="30.6" customHeight="1" x14ac:dyDescent="0.2">
      <c r="A3" s="111"/>
      <c r="B3" s="114"/>
      <c r="C3" s="116"/>
      <c r="D3" s="126"/>
      <c r="E3" s="11" t="s">
        <v>124</v>
      </c>
      <c r="F3" s="25">
        <f>1/6</f>
        <v>0.16666666666666666</v>
      </c>
      <c r="G3" s="93"/>
      <c r="H3" s="128"/>
      <c r="I3" s="145"/>
      <c r="J3" s="3"/>
    </row>
    <row r="4" spans="1:10" ht="30.6" customHeight="1" x14ac:dyDescent="0.2">
      <c r="A4" s="111"/>
      <c r="B4" s="114"/>
      <c r="C4" s="116"/>
      <c r="D4" s="126"/>
      <c r="E4" s="11" t="s">
        <v>104</v>
      </c>
      <c r="F4" s="25">
        <f t="shared" ref="F4:F7" si="0">1/6</f>
        <v>0.16666666666666666</v>
      </c>
      <c r="G4" s="93"/>
      <c r="H4" s="128"/>
      <c r="I4" s="145"/>
      <c r="J4" s="3"/>
    </row>
    <row r="5" spans="1:10" ht="30.6" customHeight="1" x14ac:dyDescent="0.2">
      <c r="A5" s="111"/>
      <c r="B5" s="114"/>
      <c r="C5" s="116"/>
      <c r="D5" s="126"/>
      <c r="E5" s="11" t="s">
        <v>31</v>
      </c>
      <c r="F5" s="25">
        <f t="shared" si="0"/>
        <v>0.16666666666666666</v>
      </c>
      <c r="G5" s="93"/>
      <c r="H5" s="128"/>
      <c r="I5" s="145"/>
      <c r="J5" s="3"/>
    </row>
    <row r="6" spans="1:10" ht="30.6" customHeight="1" x14ac:dyDescent="0.2">
      <c r="A6" s="111"/>
      <c r="B6" s="114"/>
      <c r="C6" s="116"/>
      <c r="D6" s="126"/>
      <c r="E6" s="11" t="s">
        <v>106</v>
      </c>
      <c r="F6" s="25">
        <f t="shared" si="0"/>
        <v>0.16666666666666666</v>
      </c>
      <c r="G6" s="93"/>
      <c r="H6" s="128"/>
      <c r="I6" s="145"/>
      <c r="J6" s="3"/>
    </row>
    <row r="7" spans="1:10" ht="30.6" customHeight="1" x14ac:dyDescent="0.2">
      <c r="A7" s="111"/>
      <c r="B7" s="114"/>
      <c r="C7" s="116"/>
      <c r="D7" s="126"/>
      <c r="E7" s="11" t="s">
        <v>122</v>
      </c>
      <c r="F7" s="25">
        <f t="shared" si="0"/>
        <v>0.16666666666666666</v>
      </c>
      <c r="G7" s="93"/>
      <c r="H7" s="128"/>
      <c r="I7" s="145"/>
      <c r="J7" s="3"/>
    </row>
    <row r="8" spans="1:10" ht="30.6" customHeight="1" x14ac:dyDescent="0.2">
      <c r="A8" s="111"/>
      <c r="B8" s="118" t="s">
        <v>26</v>
      </c>
      <c r="C8" s="116"/>
      <c r="D8" s="126">
        <v>1</v>
      </c>
      <c r="E8" s="23" t="s">
        <v>103</v>
      </c>
      <c r="F8" s="24">
        <v>0.1</v>
      </c>
      <c r="G8" s="94"/>
      <c r="H8" s="128">
        <f>G8*F8+G9*F9</f>
        <v>0</v>
      </c>
      <c r="I8" s="145"/>
    </row>
    <row r="9" spans="1:10" ht="30.6" customHeight="1" x14ac:dyDescent="0.2">
      <c r="A9" s="111"/>
      <c r="B9" s="118"/>
      <c r="C9" s="116"/>
      <c r="D9" s="126"/>
      <c r="E9" s="12" t="s">
        <v>102</v>
      </c>
      <c r="F9" s="26">
        <v>0.9</v>
      </c>
      <c r="G9" s="95"/>
      <c r="H9" s="128"/>
      <c r="I9" s="145"/>
    </row>
    <row r="10" spans="1:10" ht="30.6" customHeight="1" x14ac:dyDescent="0.2">
      <c r="A10" s="111"/>
      <c r="B10" s="118" t="s">
        <v>27</v>
      </c>
      <c r="C10" s="116"/>
      <c r="D10" s="126">
        <v>3</v>
      </c>
      <c r="E10" s="16" t="s">
        <v>100</v>
      </c>
      <c r="F10" s="25">
        <v>0.5</v>
      </c>
      <c r="G10" s="93"/>
      <c r="H10" s="128">
        <f>G10*F10+G11*F11</f>
        <v>0</v>
      </c>
      <c r="I10" s="145"/>
    </row>
    <row r="11" spans="1:10" ht="30.6" customHeight="1" x14ac:dyDescent="0.2">
      <c r="A11" s="112"/>
      <c r="B11" s="124"/>
      <c r="C11" s="117"/>
      <c r="D11" s="127"/>
      <c r="E11" s="17" t="s">
        <v>102</v>
      </c>
      <c r="F11" s="26">
        <v>0.5</v>
      </c>
      <c r="G11" s="96"/>
      <c r="H11" s="131"/>
      <c r="I11" s="135"/>
    </row>
    <row r="12" spans="1:10" ht="30.6" customHeight="1" x14ac:dyDescent="0.2">
      <c r="A12" s="119" t="s">
        <v>28</v>
      </c>
      <c r="B12" s="121" t="s">
        <v>29</v>
      </c>
      <c r="C12" s="122">
        <v>5</v>
      </c>
      <c r="D12" s="132">
        <v>4</v>
      </c>
      <c r="E12" s="16" t="s">
        <v>100</v>
      </c>
      <c r="F12" s="25">
        <v>0.25</v>
      </c>
      <c r="G12" s="93"/>
      <c r="H12" s="128">
        <f>G12*F12+G13*F13+G14*F14+G15*F15</f>
        <v>0</v>
      </c>
      <c r="I12" s="134">
        <f>(H12*D12+H16*D16)/C12</f>
        <v>0</v>
      </c>
    </row>
    <row r="13" spans="1:10" ht="30.6" customHeight="1" x14ac:dyDescent="0.2">
      <c r="A13" s="119"/>
      <c r="B13" s="121"/>
      <c r="C13" s="122"/>
      <c r="D13" s="132"/>
      <c r="E13" s="16" t="s">
        <v>89</v>
      </c>
      <c r="F13" s="25">
        <v>0.25</v>
      </c>
      <c r="G13" s="93"/>
      <c r="H13" s="128"/>
      <c r="I13" s="145"/>
    </row>
    <row r="14" spans="1:10" ht="30.6" customHeight="1" x14ac:dyDescent="0.2">
      <c r="A14" s="119"/>
      <c r="B14" s="121"/>
      <c r="C14" s="122"/>
      <c r="D14" s="132"/>
      <c r="E14" s="16" t="s">
        <v>101</v>
      </c>
      <c r="F14" s="25">
        <v>0.25</v>
      </c>
      <c r="G14" s="93"/>
      <c r="H14" s="128"/>
      <c r="I14" s="145"/>
    </row>
    <row r="15" spans="1:10" ht="30.6" customHeight="1" x14ac:dyDescent="0.2">
      <c r="A15" s="119"/>
      <c r="B15" s="121"/>
      <c r="C15" s="122"/>
      <c r="D15" s="132"/>
      <c r="E15" s="16" t="s">
        <v>102</v>
      </c>
      <c r="F15" s="25">
        <v>0.25</v>
      </c>
      <c r="G15" s="93"/>
      <c r="H15" s="128"/>
      <c r="I15" s="145"/>
    </row>
    <row r="16" spans="1:10" ht="30.6" customHeight="1" x14ac:dyDescent="0.2">
      <c r="A16" s="119"/>
      <c r="B16" s="121" t="s">
        <v>30</v>
      </c>
      <c r="C16" s="122"/>
      <c r="D16" s="132">
        <v>1</v>
      </c>
      <c r="E16" s="15" t="s">
        <v>97</v>
      </c>
      <c r="F16" s="24">
        <v>0.4</v>
      </c>
      <c r="G16" s="94"/>
      <c r="H16" s="128">
        <f>G16*F16+G17*F17</f>
        <v>0</v>
      </c>
      <c r="I16" s="145"/>
    </row>
    <row r="17" spans="1:9" ht="30.6" customHeight="1" x14ac:dyDescent="0.2">
      <c r="A17" s="120"/>
      <c r="B17" s="156"/>
      <c r="C17" s="123"/>
      <c r="D17" s="133"/>
      <c r="E17" s="17" t="s">
        <v>102</v>
      </c>
      <c r="F17" s="26">
        <v>0.6</v>
      </c>
      <c r="G17" s="95"/>
      <c r="H17" s="131"/>
      <c r="I17" s="135"/>
    </row>
    <row r="18" spans="1:9" ht="30.6" customHeight="1" x14ac:dyDescent="0.2">
      <c r="A18" s="160" t="s">
        <v>133</v>
      </c>
      <c r="B18" s="153" t="s">
        <v>32</v>
      </c>
      <c r="C18" s="142">
        <v>5</v>
      </c>
      <c r="D18" s="144">
        <v>1</v>
      </c>
      <c r="E18" s="15" t="s">
        <v>89</v>
      </c>
      <c r="F18" s="24">
        <v>0.6</v>
      </c>
      <c r="G18" s="97"/>
      <c r="H18" s="136">
        <f>G18*F18+G19*F19</f>
        <v>0</v>
      </c>
      <c r="I18" s="134">
        <f>(H18*D18+H20*D20+H22*D22)/C18</f>
        <v>0</v>
      </c>
    </row>
    <row r="19" spans="1:9" ht="30.6" customHeight="1" x14ac:dyDescent="0.2">
      <c r="A19" s="161"/>
      <c r="B19" s="154"/>
      <c r="C19" s="122"/>
      <c r="D19" s="132"/>
      <c r="E19" s="16" t="s">
        <v>95</v>
      </c>
      <c r="F19" s="25">
        <v>0.4</v>
      </c>
      <c r="G19" s="93"/>
      <c r="H19" s="128"/>
      <c r="I19" s="145"/>
    </row>
    <row r="20" spans="1:9" ht="30.6" customHeight="1" x14ac:dyDescent="0.2">
      <c r="A20" s="161"/>
      <c r="B20" s="154" t="s">
        <v>33</v>
      </c>
      <c r="C20" s="122"/>
      <c r="D20" s="132">
        <v>2</v>
      </c>
      <c r="E20" s="15" t="s">
        <v>89</v>
      </c>
      <c r="F20" s="24">
        <v>0.5</v>
      </c>
      <c r="G20" s="94"/>
      <c r="H20" s="128">
        <f>G20*F20+G21*F21</f>
        <v>0</v>
      </c>
      <c r="I20" s="145"/>
    </row>
    <row r="21" spans="1:9" ht="30.6" customHeight="1" x14ac:dyDescent="0.2">
      <c r="A21" s="161"/>
      <c r="B21" s="154"/>
      <c r="C21" s="122"/>
      <c r="D21" s="132"/>
      <c r="E21" s="17" t="s">
        <v>102</v>
      </c>
      <c r="F21" s="26">
        <v>0.5</v>
      </c>
      <c r="G21" s="95"/>
      <c r="H21" s="128"/>
      <c r="I21" s="145"/>
    </row>
    <row r="22" spans="1:9" ht="30.6" customHeight="1" x14ac:dyDescent="0.2">
      <c r="A22" s="161"/>
      <c r="B22" s="154" t="s">
        <v>125</v>
      </c>
      <c r="C22" s="122"/>
      <c r="D22" s="132">
        <v>2</v>
      </c>
      <c r="E22" s="16" t="s">
        <v>146</v>
      </c>
      <c r="F22" s="25">
        <v>0.4</v>
      </c>
      <c r="G22" s="93"/>
      <c r="H22" s="128">
        <f>G22*F22+G23*F23+G24*F24</f>
        <v>0</v>
      </c>
      <c r="I22" s="145"/>
    </row>
    <row r="23" spans="1:9" ht="30.6" customHeight="1" x14ac:dyDescent="0.2">
      <c r="A23" s="161"/>
      <c r="B23" s="154"/>
      <c r="C23" s="122"/>
      <c r="D23" s="132"/>
      <c r="E23" s="16" t="s">
        <v>98</v>
      </c>
      <c r="F23" s="25">
        <v>0.3</v>
      </c>
      <c r="G23" s="93"/>
      <c r="H23" s="128"/>
      <c r="I23" s="145"/>
    </row>
    <row r="24" spans="1:9" ht="30.6" customHeight="1" x14ac:dyDescent="0.2">
      <c r="A24" s="162"/>
      <c r="B24" s="155"/>
      <c r="C24" s="123"/>
      <c r="D24" s="133"/>
      <c r="E24" s="17" t="s">
        <v>99</v>
      </c>
      <c r="F24" s="26">
        <v>0.3</v>
      </c>
      <c r="G24" s="96"/>
      <c r="H24" s="131"/>
      <c r="I24" s="135"/>
    </row>
    <row r="25" spans="1:9" ht="30.6" customHeight="1" x14ac:dyDescent="0.2">
      <c r="A25" s="175" t="s">
        <v>34</v>
      </c>
      <c r="B25" s="178" t="s">
        <v>126</v>
      </c>
      <c r="C25" s="143">
        <v>4</v>
      </c>
      <c r="D25" s="126">
        <v>2</v>
      </c>
      <c r="E25" s="16" t="s">
        <v>89</v>
      </c>
      <c r="F25" s="25">
        <v>0.4</v>
      </c>
      <c r="G25" s="93"/>
      <c r="H25" s="128">
        <f>F25*G25+F26*G26</f>
        <v>0</v>
      </c>
      <c r="I25" s="134">
        <f>(H25*D25+H27*D27)/C25</f>
        <v>0</v>
      </c>
    </row>
    <row r="26" spans="1:9" ht="30.6" customHeight="1" x14ac:dyDescent="0.2">
      <c r="A26" s="176"/>
      <c r="B26" s="179"/>
      <c r="C26" s="180"/>
      <c r="D26" s="181"/>
      <c r="E26" s="16" t="s">
        <v>102</v>
      </c>
      <c r="F26" s="25">
        <v>0.6</v>
      </c>
      <c r="G26" s="93"/>
      <c r="H26" s="128"/>
      <c r="I26" s="145"/>
    </row>
    <row r="27" spans="1:9" ht="30.6" customHeight="1" x14ac:dyDescent="0.2">
      <c r="A27" s="176"/>
      <c r="B27" s="157" t="s">
        <v>127</v>
      </c>
      <c r="C27" s="180"/>
      <c r="D27" s="132">
        <v>2</v>
      </c>
      <c r="E27" s="15" t="s">
        <v>89</v>
      </c>
      <c r="F27" s="24">
        <v>0.4</v>
      </c>
      <c r="G27" s="94"/>
      <c r="H27" s="128">
        <f>F27*G27+F28*G28</f>
        <v>0</v>
      </c>
      <c r="I27" s="145"/>
    </row>
    <row r="28" spans="1:9" ht="30.6" customHeight="1" x14ac:dyDescent="0.2">
      <c r="A28" s="177"/>
      <c r="B28" s="157"/>
      <c r="C28" s="167"/>
      <c r="D28" s="132"/>
      <c r="E28" s="17" t="s">
        <v>102</v>
      </c>
      <c r="F28" s="26">
        <v>0.6</v>
      </c>
      <c r="G28" s="95"/>
      <c r="H28" s="128"/>
      <c r="I28" s="135"/>
    </row>
    <row r="29" spans="1:9" ht="30.6" customHeight="1" x14ac:dyDescent="0.2">
      <c r="A29" s="171" t="s">
        <v>35</v>
      </c>
      <c r="B29" s="29" t="s">
        <v>36</v>
      </c>
      <c r="C29" s="173">
        <v>3</v>
      </c>
      <c r="D29" s="14">
        <v>2</v>
      </c>
      <c r="E29" s="15" t="s">
        <v>23</v>
      </c>
      <c r="F29" s="24">
        <v>1</v>
      </c>
      <c r="G29" s="97"/>
      <c r="H29" s="23">
        <f>G29*F29</f>
        <v>0</v>
      </c>
      <c r="I29" s="134">
        <f>(H29*D29+H30*D30)/C29</f>
        <v>0</v>
      </c>
    </row>
    <row r="30" spans="1:9" ht="30.6" customHeight="1" x14ac:dyDescent="0.2">
      <c r="A30" s="172"/>
      <c r="B30" s="30" t="s">
        <v>37</v>
      </c>
      <c r="C30" s="174"/>
      <c r="D30" s="22">
        <v>1</v>
      </c>
      <c r="E30" s="54" t="s">
        <v>23</v>
      </c>
      <c r="F30" s="55">
        <v>1</v>
      </c>
      <c r="G30" s="99"/>
      <c r="H30" s="12">
        <f>G30*F30</f>
        <v>0</v>
      </c>
      <c r="I30" s="135"/>
    </row>
    <row r="31" spans="1:9" ht="30.6" customHeight="1" x14ac:dyDescent="0.2">
      <c r="A31" s="137" t="s">
        <v>38</v>
      </c>
      <c r="B31" s="140" t="s">
        <v>39</v>
      </c>
      <c r="C31" s="142">
        <v>4</v>
      </c>
      <c r="D31" s="144">
        <v>2</v>
      </c>
      <c r="E31" s="16" t="s">
        <v>96</v>
      </c>
      <c r="F31" s="25">
        <v>0.75</v>
      </c>
      <c r="G31" s="93"/>
      <c r="H31" s="136">
        <f>G31*F31+G32*F32</f>
        <v>0</v>
      </c>
      <c r="I31" s="134">
        <f>(H31*D31+H33*D33+H35*D35)/C31</f>
        <v>0</v>
      </c>
    </row>
    <row r="32" spans="1:9" ht="30.6" customHeight="1" x14ac:dyDescent="0.2">
      <c r="A32" s="138"/>
      <c r="B32" s="141"/>
      <c r="C32" s="122"/>
      <c r="D32" s="132"/>
      <c r="E32" s="16" t="s">
        <v>148</v>
      </c>
      <c r="F32" s="25">
        <v>0.25</v>
      </c>
      <c r="G32" s="93"/>
      <c r="H32" s="128"/>
      <c r="I32" s="145"/>
    </row>
    <row r="33" spans="1:9" ht="30.6" customHeight="1" x14ac:dyDescent="0.2">
      <c r="A33" s="138"/>
      <c r="B33" s="141" t="s">
        <v>40</v>
      </c>
      <c r="C33" s="122"/>
      <c r="D33" s="132">
        <v>1.5</v>
      </c>
      <c r="E33" s="15" t="s">
        <v>93</v>
      </c>
      <c r="F33" s="24">
        <v>0.5</v>
      </c>
      <c r="G33" s="94"/>
      <c r="H33" s="128">
        <f>G33*F33+G34*F34</f>
        <v>0</v>
      </c>
      <c r="I33" s="145"/>
    </row>
    <row r="34" spans="1:9" ht="30.6" customHeight="1" x14ac:dyDescent="0.2">
      <c r="A34" s="138"/>
      <c r="B34" s="141"/>
      <c r="C34" s="122"/>
      <c r="D34" s="132"/>
      <c r="E34" s="17" t="s">
        <v>94</v>
      </c>
      <c r="F34" s="26">
        <v>0.5</v>
      </c>
      <c r="G34" s="95"/>
      <c r="H34" s="128"/>
      <c r="I34" s="145"/>
    </row>
    <row r="35" spans="1:9" ht="30.6" customHeight="1" x14ac:dyDescent="0.2">
      <c r="A35" s="139"/>
      <c r="B35" s="8" t="s">
        <v>41</v>
      </c>
      <c r="C35" s="143"/>
      <c r="D35" s="9">
        <v>0.5</v>
      </c>
      <c r="E35" s="16" t="s">
        <v>23</v>
      </c>
      <c r="F35" s="25">
        <v>1</v>
      </c>
      <c r="G35" s="93"/>
      <c r="H35" s="11">
        <f>G35*F35</f>
        <v>0</v>
      </c>
      <c r="I35" s="135"/>
    </row>
    <row r="36" spans="1:9" ht="30.6" customHeight="1" x14ac:dyDescent="0.2">
      <c r="A36" s="163" t="s">
        <v>42</v>
      </c>
      <c r="B36" s="165" t="s">
        <v>43</v>
      </c>
      <c r="C36" s="167">
        <v>1</v>
      </c>
      <c r="D36" s="129">
        <v>1</v>
      </c>
      <c r="E36" s="15" t="s">
        <v>91</v>
      </c>
      <c r="F36" s="24">
        <v>0.5</v>
      </c>
      <c r="G36" s="97"/>
      <c r="H36" s="136">
        <f>G36*F36+G37*F37</f>
        <v>0</v>
      </c>
      <c r="I36" s="134">
        <f>(H36*D36)/C36</f>
        <v>0</v>
      </c>
    </row>
    <row r="37" spans="1:9" ht="30.6" customHeight="1" x14ac:dyDescent="0.2">
      <c r="A37" s="164"/>
      <c r="B37" s="166"/>
      <c r="C37" s="143"/>
      <c r="D37" s="130"/>
      <c r="E37" s="17" t="s">
        <v>92</v>
      </c>
      <c r="F37" s="26">
        <v>0.5</v>
      </c>
      <c r="G37" s="96"/>
      <c r="H37" s="131"/>
      <c r="I37" s="135"/>
    </row>
    <row r="38" spans="1:9" ht="30.6" customHeight="1" x14ac:dyDescent="0.2">
      <c r="A38" s="168" t="s">
        <v>44</v>
      </c>
      <c r="B38" s="169"/>
      <c r="C38" s="170">
        <f>SUM(C2:C36)</f>
        <v>30</v>
      </c>
      <c r="D38" s="168"/>
      <c r="E38" s="150">
        <f>(I2*C2+I12*C12+I18*C18+I25*C25+I29*C29+I31*C31+I36*C36)/C38</f>
        <v>0</v>
      </c>
      <c r="F38" s="151"/>
      <c r="G38" s="151"/>
      <c r="H38" s="158" t="str">
        <f>IF(OR(I2&lt;10,I12&lt;10,I18&lt;10,I25&lt;10,I29&lt;10,I31&lt;10,I36&lt;10),"Valide pas","Valide")</f>
        <v>Valide pas</v>
      </c>
      <c r="I38" s="159"/>
    </row>
    <row r="39" spans="1:9" ht="30.6" customHeight="1" x14ac:dyDescent="0.2">
      <c r="H39" s="62"/>
      <c r="I39" s="62"/>
    </row>
  </sheetData>
  <mergeCells count="67">
    <mergeCell ref="E38:G38"/>
    <mergeCell ref="H38:I38"/>
    <mergeCell ref="A18:A24"/>
    <mergeCell ref="I29:I30"/>
    <mergeCell ref="A36:A37"/>
    <mergeCell ref="B36:B37"/>
    <mergeCell ref="C36:C37"/>
    <mergeCell ref="A38:B38"/>
    <mergeCell ref="C38:D38"/>
    <mergeCell ref="A29:A30"/>
    <mergeCell ref="C29:C30"/>
    <mergeCell ref="A25:A28"/>
    <mergeCell ref="B25:B26"/>
    <mergeCell ref="C25:C28"/>
    <mergeCell ref="D25:D26"/>
    <mergeCell ref="I25:I28"/>
    <mergeCell ref="B27:B28"/>
    <mergeCell ref="D27:D28"/>
    <mergeCell ref="H27:H28"/>
    <mergeCell ref="I18:I24"/>
    <mergeCell ref="B20:B21"/>
    <mergeCell ref="C1:D1"/>
    <mergeCell ref="H1:I1"/>
    <mergeCell ref="E1:G1"/>
    <mergeCell ref="B18:B19"/>
    <mergeCell ref="C18:C24"/>
    <mergeCell ref="D18:D19"/>
    <mergeCell ref="H18:H19"/>
    <mergeCell ref="D20:D21"/>
    <mergeCell ref="H20:H21"/>
    <mergeCell ref="B22:B24"/>
    <mergeCell ref="D22:D24"/>
    <mergeCell ref="H22:H24"/>
    <mergeCell ref="I12:I17"/>
    <mergeCell ref="B16:B17"/>
    <mergeCell ref="I2:I11"/>
    <mergeCell ref="H2:H7"/>
    <mergeCell ref="I36:I37"/>
    <mergeCell ref="H36:H37"/>
    <mergeCell ref="A31:A35"/>
    <mergeCell ref="B31:B32"/>
    <mergeCell ref="C31:C35"/>
    <mergeCell ref="D31:D32"/>
    <mergeCell ref="I31:I35"/>
    <mergeCell ref="H31:H32"/>
    <mergeCell ref="B33:B34"/>
    <mergeCell ref="D33:D34"/>
    <mergeCell ref="H33:H34"/>
    <mergeCell ref="D2:D7"/>
    <mergeCell ref="D8:D9"/>
    <mergeCell ref="D10:D11"/>
    <mergeCell ref="H8:H9"/>
    <mergeCell ref="D36:D37"/>
    <mergeCell ref="H25:H26"/>
    <mergeCell ref="H10:H11"/>
    <mergeCell ref="D16:D17"/>
    <mergeCell ref="H16:H17"/>
    <mergeCell ref="D12:D15"/>
    <mergeCell ref="H12:H15"/>
    <mergeCell ref="A2:A11"/>
    <mergeCell ref="B2:B7"/>
    <mergeCell ref="C2:C11"/>
    <mergeCell ref="B8:B9"/>
    <mergeCell ref="A12:A17"/>
    <mergeCell ref="B12:B15"/>
    <mergeCell ref="C12:C17"/>
    <mergeCell ref="B10:B11"/>
  </mergeCells>
  <conditionalFormatting sqref="H38">
    <cfRule type="cellIs" dxfId="31" priority="1" operator="equal">
      <formula>"Valide pas"</formula>
    </cfRule>
    <cfRule type="cellIs" dxfId="30" priority="2" operator="equal">
      <formula>"Valide"</formula>
    </cfRule>
  </conditionalFormatting>
  <conditionalFormatting sqref="I2:I37 E38">
    <cfRule type="cellIs" dxfId="29" priority="5" operator="lessThan">
      <formula>10</formula>
    </cfRule>
    <cfRule type="cellIs" dxfId="28" priority="6" operator="greaterThanOrEqual">
      <formula>10</formula>
    </cfRule>
  </conditionalFormatting>
  <pageMargins left="0" right="0" top="0.39370078740157483" bottom="0.39370078740157483" header="0" footer="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25810-1BDC-480C-8BF0-D3EBB5BD7C09}">
  <dimension ref="A1:K41"/>
  <sheetViews>
    <sheetView workbookViewId="0"/>
  </sheetViews>
  <sheetFormatPr baseColWidth="10" defaultColWidth="12.140625" defaultRowHeight="30.6" customHeight="1" x14ac:dyDescent="0.2"/>
  <cols>
    <col min="1" max="2" width="35.140625" style="3" customWidth="1"/>
    <col min="3" max="4" width="12.140625" style="3" customWidth="1"/>
    <col min="5" max="5" width="23.42578125" style="3" customWidth="1"/>
    <col min="6" max="6" width="12.140625" style="27" customWidth="1"/>
    <col min="7" max="7" width="12.140625" style="3" customWidth="1"/>
    <col min="8" max="10" width="12.140625" style="7" customWidth="1"/>
    <col min="11" max="11" width="12.140625" style="3" customWidth="1"/>
    <col min="12" max="16384" width="12.140625" style="3"/>
  </cols>
  <sheetData>
    <row r="1" spans="1:11" s="1" customFormat="1" ht="30.6" customHeight="1" x14ac:dyDescent="0.2">
      <c r="A1" s="18" t="s">
        <v>20</v>
      </c>
      <c r="B1" s="37" t="s">
        <v>21</v>
      </c>
      <c r="C1" s="146" t="s">
        <v>22</v>
      </c>
      <c r="D1" s="147"/>
      <c r="E1" s="150" t="s">
        <v>90</v>
      </c>
      <c r="F1" s="151"/>
      <c r="G1" s="152"/>
      <c r="H1" s="193" t="s">
        <v>88</v>
      </c>
      <c r="I1" s="194"/>
    </row>
    <row r="2" spans="1:11" ht="30.6" customHeight="1" x14ac:dyDescent="0.2">
      <c r="A2" s="110" t="s">
        <v>128</v>
      </c>
      <c r="B2" s="113" t="s">
        <v>45</v>
      </c>
      <c r="C2" s="115">
        <v>7</v>
      </c>
      <c r="D2" s="125">
        <v>2</v>
      </c>
      <c r="E2" s="11" t="s">
        <v>121</v>
      </c>
      <c r="F2" s="25">
        <v>0.5</v>
      </c>
      <c r="G2" s="93"/>
      <c r="H2" s="136">
        <f>G2*F2+G3*F3</f>
        <v>0</v>
      </c>
      <c r="I2" s="134">
        <f>(H2*D2+H4*D4+H6*D6)/C2</f>
        <v>0</v>
      </c>
      <c r="J2" s="3"/>
    </row>
    <row r="3" spans="1:11" ht="30.6" customHeight="1" x14ac:dyDescent="0.2">
      <c r="A3" s="111"/>
      <c r="B3" s="114"/>
      <c r="C3" s="116"/>
      <c r="D3" s="126"/>
      <c r="E3" s="11" t="s">
        <v>102</v>
      </c>
      <c r="F3" s="25">
        <v>0.5</v>
      </c>
      <c r="G3" s="93"/>
      <c r="H3" s="128"/>
      <c r="I3" s="145"/>
      <c r="J3" s="3"/>
    </row>
    <row r="4" spans="1:11" ht="30.6" customHeight="1" x14ac:dyDescent="0.2">
      <c r="A4" s="111"/>
      <c r="B4" s="118" t="s">
        <v>46</v>
      </c>
      <c r="C4" s="116"/>
      <c r="D4" s="126">
        <v>2</v>
      </c>
      <c r="E4" s="23" t="s">
        <v>98</v>
      </c>
      <c r="F4" s="24">
        <v>0.5</v>
      </c>
      <c r="G4" s="94"/>
      <c r="H4" s="128">
        <f>G4*F4+G5*F5</f>
        <v>0</v>
      </c>
      <c r="I4" s="145"/>
    </row>
    <row r="5" spans="1:11" ht="30.6" customHeight="1" x14ac:dyDescent="0.2">
      <c r="A5" s="111"/>
      <c r="B5" s="118"/>
      <c r="C5" s="116"/>
      <c r="D5" s="126"/>
      <c r="E5" s="12" t="s">
        <v>99</v>
      </c>
      <c r="F5" s="26">
        <v>0.5</v>
      </c>
      <c r="G5" s="95"/>
      <c r="H5" s="128"/>
      <c r="I5" s="145"/>
    </row>
    <row r="6" spans="1:11" ht="30.6" customHeight="1" x14ac:dyDescent="0.2">
      <c r="A6" s="111"/>
      <c r="B6" s="118" t="s">
        <v>129</v>
      </c>
      <c r="C6" s="116"/>
      <c r="D6" s="126">
        <v>3</v>
      </c>
      <c r="E6" s="16" t="s">
        <v>97</v>
      </c>
      <c r="F6" s="25">
        <v>0.33333333333333337</v>
      </c>
      <c r="G6" s="93"/>
      <c r="H6" s="128">
        <f>G6*F6+G7*F7</f>
        <v>0</v>
      </c>
      <c r="I6" s="145"/>
    </row>
    <row r="7" spans="1:11" ht="30.6" customHeight="1" x14ac:dyDescent="0.2">
      <c r="A7" s="112"/>
      <c r="B7" s="124"/>
      <c r="C7" s="117"/>
      <c r="D7" s="127"/>
      <c r="E7" s="17" t="s">
        <v>102</v>
      </c>
      <c r="F7" s="26">
        <v>0.66666666666666674</v>
      </c>
      <c r="G7" s="96"/>
      <c r="H7" s="131"/>
      <c r="I7" s="135"/>
    </row>
    <row r="8" spans="1:11" ht="30.6" customHeight="1" x14ac:dyDescent="0.2">
      <c r="A8" s="119" t="s">
        <v>47</v>
      </c>
      <c r="B8" s="121" t="s">
        <v>48</v>
      </c>
      <c r="C8" s="122">
        <v>3</v>
      </c>
      <c r="D8" s="132">
        <v>2</v>
      </c>
      <c r="E8" s="15" t="s">
        <v>97</v>
      </c>
      <c r="F8" s="24">
        <v>0.4</v>
      </c>
      <c r="G8" s="94"/>
      <c r="H8" s="128">
        <f>G8*F8+G9*F9</f>
        <v>0</v>
      </c>
      <c r="I8" s="134">
        <f>(H8*D8+H10*D10)/C8</f>
        <v>0</v>
      </c>
    </row>
    <row r="9" spans="1:11" ht="30.6" customHeight="1" x14ac:dyDescent="0.2">
      <c r="A9" s="119"/>
      <c r="B9" s="121"/>
      <c r="C9" s="122"/>
      <c r="D9" s="132"/>
      <c r="E9" s="17" t="s">
        <v>102</v>
      </c>
      <c r="F9" s="26">
        <v>0.6</v>
      </c>
      <c r="G9" s="95"/>
      <c r="H9" s="128"/>
      <c r="I9" s="145"/>
    </row>
    <row r="10" spans="1:11" s="7" customFormat="1" ht="30.6" customHeight="1" x14ac:dyDescent="0.2">
      <c r="A10" s="119"/>
      <c r="B10" s="35" t="s">
        <v>130</v>
      </c>
      <c r="C10" s="122"/>
      <c r="D10" s="20">
        <v>1</v>
      </c>
      <c r="E10" s="16" t="s">
        <v>89</v>
      </c>
      <c r="F10" s="25">
        <v>1</v>
      </c>
      <c r="G10" s="93"/>
      <c r="H10" s="11">
        <f>G10*F10</f>
        <v>0</v>
      </c>
      <c r="I10" s="145"/>
      <c r="K10" s="3"/>
    </row>
    <row r="11" spans="1:11" s="7" customFormat="1" ht="30.6" customHeight="1" x14ac:dyDescent="0.2">
      <c r="A11" s="160" t="s">
        <v>134</v>
      </c>
      <c r="B11" s="153" t="s">
        <v>131</v>
      </c>
      <c r="C11" s="142">
        <v>5</v>
      </c>
      <c r="D11" s="144">
        <v>2</v>
      </c>
      <c r="E11" s="15" t="s">
        <v>113</v>
      </c>
      <c r="F11" s="24">
        <v>0.4</v>
      </c>
      <c r="G11" s="97"/>
      <c r="H11" s="136">
        <f>G11*F11+G12*F12+G13*F13+G14*F14</f>
        <v>0</v>
      </c>
      <c r="I11" s="134">
        <f>(H11*D11+H15*D15+H18*D18+H21*D21)/C11</f>
        <v>0</v>
      </c>
      <c r="K11" s="3"/>
    </row>
    <row r="12" spans="1:11" s="7" customFormat="1" ht="30.6" customHeight="1" x14ac:dyDescent="0.2">
      <c r="A12" s="161"/>
      <c r="B12" s="154"/>
      <c r="C12" s="122"/>
      <c r="D12" s="132"/>
      <c r="E12" s="16" t="s">
        <v>114</v>
      </c>
      <c r="F12" s="25">
        <v>0.2</v>
      </c>
      <c r="G12" s="93"/>
      <c r="H12" s="128"/>
      <c r="I12" s="145"/>
      <c r="K12" s="3"/>
    </row>
    <row r="13" spans="1:11" s="7" customFormat="1" ht="30.6" customHeight="1" x14ac:dyDescent="0.2">
      <c r="A13" s="161"/>
      <c r="B13" s="154"/>
      <c r="C13" s="122"/>
      <c r="D13" s="132"/>
      <c r="E13" s="16" t="s">
        <v>115</v>
      </c>
      <c r="F13" s="25">
        <v>0.2</v>
      </c>
      <c r="G13" s="93"/>
      <c r="H13" s="128"/>
      <c r="I13" s="145"/>
      <c r="K13" s="3"/>
    </row>
    <row r="14" spans="1:11" s="7" customFormat="1" ht="30.6" customHeight="1" x14ac:dyDescent="0.2">
      <c r="A14" s="161"/>
      <c r="B14" s="154"/>
      <c r="C14" s="122"/>
      <c r="D14" s="132"/>
      <c r="E14" s="16" t="s">
        <v>116</v>
      </c>
      <c r="F14" s="25">
        <v>0.2</v>
      </c>
      <c r="G14" s="93"/>
      <c r="H14" s="128"/>
      <c r="I14" s="145"/>
      <c r="K14" s="3"/>
    </row>
    <row r="15" spans="1:11" s="7" customFormat="1" ht="30.6" customHeight="1" x14ac:dyDescent="0.2">
      <c r="A15" s="161"/>
      <c r="B15" s="154" t="s">
        <v>49</v>
      </c>
      <c r="C15" s="122"/>
      <c r="D15" s="132">
        <v>1</v>
      </c>
      <c r="E15" s="15" t="s">
        <v>117</v>
      </c>
      <c r="F15" s="24">
        <v>0.1</v>
      </c>
      <c r="G15" s="94"/>
      <c r="H15" s="128">
        <f>G15*F15+G16*F16+G17*F17</f>
        <v>0</v>
      </c>
      <c r="I15" s="145"/>
      <c r="K15" s="3"/>
    </row>
    <row r="16" spans="1:11" s="7" customFormat="1" ht="30.6" customHeight="1" x14ac:dyDescent="0.2">
      <c r="A16" s="161"/>
      <c r="B16" s="154"/>
      <c r="C16" s="122"/>
      <c r="D16" s="132"/>
      <c r="E16" s="16" t="s">
        <v>89</v>
      </c>
      <c r="F16" s="25">
        <v>0.3</v>
      </c>
      <c r="G16" s="98"/>
      <c r="H16" s="128"/>
      <c r="I16" s="145"/>
      <c r="K16" s="3"/>
    </row>
    <row r="17" spans="1:11" s="7" customFormat="1" ht="30.6" customHeight="1" x14ac:dyDescent="0.2">
      <c r="A17" s="161"/>
      <c r="B17" s="154"/>
      <c r="C17" s="122"/>
      <c r="D17" s="132"/>
      <c r="E17" s="17" t="s">
        <v>118</v>
      </c>
      <c r="F17" s="26">
        <v>0.6</v>
      </c>
      <c r="G17" s="95"/>
      <c r="H17" s="128"/>
      <c r="I17" s="145"/>
      <c r="K17" s="3"/>
    </row>
    <row r="18" spans="1:11" s="7" customFormat="1" ht="30.6" customHeight="1" x14ac:dyDescent="0.2">
      <c r="A18" s="161"/>
      <c r="B18" s="154" t="s">
        <v>135</v>
      </c>
      <c r="C18" s="122"/>
      <c r="D18" s="132">
        <v>1</v>
      </c>
      <c r="E18" s="15" t="s">
        <v>117</v>
      </c>
      <c r="F18" s="24">
        <v>0.2</v>
      </c>
      <c r="G18" s="94"/>
      <c r="H18" s="128">
        <f>G18*F18+G19*F19+G20*F20</f>
        <v>0</v>
      </c>
      <c r="I18" s="145"/>
      <c r="K18" s="3"/>
    </row>
    <row r="19" spans="1:11" s="7" customFormat="1" ht="30.6" customHeight="1" x14ac:dyDescent="0.2">
      <c r="A19" s="161"/>
      <c r="B19" s="154"/>
      <c r="C19" s="122"/>
      <c r="D19" s="132"/>
      <c r="E19" s="16" t="s">
        <v>98</v>
      </c>
      <c r="F19" s="25">
        <v>0.3</v>
      </c>
      <c r="G19" s="98"/>
      <c r="H19" s="128"/>
      <c r="I19" s="145"/>
      <c r="K19" s="3"/>
    </row>
    <row r="20" spans="1:11" s="7" customFormat="1" ht="30.6" customHeight="1" x14ac:dyDescent="0.2">
      <c r="A20" s="161"/>
      <c r="B20" s="154"/>
      <c r="C20" s="122"/>
      <c r="D20" s="132"/>
      <c r="E20" s="17" t="s">
        <v>99</v>
      </c>
      <c r="F20" s="26">
        <v>0.5</v>
      </c>
      <c r="G20" s="95"/>
      <c r="H20" s="128"/>
      <c r="I20" s="145"/>
      <c r="K20" s="3"/>
    </row>
    <row r="21" spans="1:11" s="7" customFormat="1" ht="30.6" customHeight="1" x14ac:dyDescent="0.2">
      <c r="A21" s="161"/>
      <c r="B21" s="154" t="s">
        <v>132</v>
      </c>
      <c r="C21" s="122"/>
      <c r="D21" s="132">
        <v>1</v>
      </c>
      <c r="E21" s="16" t="s">
        <v>150</v>
      </c>
      <c r="F21" s="25">
        <v>0.2</v>
      </c>
      <c r="G21" s="93"/>
      <c r="H21" s="128">
        <f>G21*F21+G22*F22+G23*F23</f>
        <v>0</v>
      </c>
      <c r="I21" s="145"/>
      <c r="K21" s="3"/>
    </row>
    <row r="22" spans="1:11" s="7" customFormat="1" ht="30.6" customHeight="1" x14ac:dyDescent="0.2">
      <c r="A22" s="161"/>
      <c r="B22" s="154"/>
      <c r="C22" s="122"/>
      <c r="D22" s="132"/>
      <c r="E22" s="16" t="s">
        <v>119</v>
      </c>
      <c r="F22" s="25">
        <v>0.4</v>
      </c>
      <c r="G22" s="93"/>
      <c r="H22" s="128"/>
      <c r="I22" s="145"/>
      <c r="K22" s="3"/>
    </row>
    <row r="23" spans="1:11" s="7" customFormat="1" ht="30.6" customHeight="1" x14ac:dyDescent="0.2">
      <c r="A23" s="162"/>
      <c r="B23" s="192"/>
      <c r="C23" s="123"/>
      <c r="D23" s="133"/>
      <c r="E23" s="17" t="s">
        <v>120</v>
      </c>
      <c r="F23" s="26">
        <v>0.4</v>
      </c>
      <c r="G23" s="96"/>
      <c r="H23" s="131"/>
      <c r="I23" s="135"/>
      <c r="K23" s="3"/>
    </row>
    <row r="24" spans="1:11" s="7" customFormat="1" ht="30.6" customHeight="1" x14ac:dyDescent="0.2">
      <c r="A24" s="175" t="s">
        <v>137</v>
      </c>
      <c r="B24" s="178" t="s">
        <v>50</v>
      </c>
      <c r="C24" s="143">
        <v>6</v>
      </c>
      <c r="D24" s="126">
        <v>3</v>
      </c>
      <c r="E24" s="16" t="s">
        <v>95</v>
      </c>
      <c r="F24" s="25">
        <v>0.2</v>
      </c>
      <c r="G24" s="93"/>
      <c r="H24" s="128">
        <f>F24*G24+F25*G25+F26*G26</f>
        <v>0</v>
      </c>
      <c r="I24" s="145">
        <f>(H24*D24+H27*D27)/C24</f>
        <v>0</v>
      </c>
      <c r="K24" s="3"/>
    </row>
    <row r="25" spans="1:11" s="7" customFormat="1" ht="30.6" customHeight="1" x14ac:dyDescent="0.2">
      <c r="A25" s="175"/>
      <c r="B25" s="178"/>
      <c r="C25" s="143"/>
      <c r="D25" s="126"/>
      <c r="E25" s="16" t="s">
        <v>146</v>
      </c>
      <c r="F25" s="25">
        <v>0.4</v>
      </c>
      <c r="G25" s="93"/>
      <c r="H25" s="128"/>
      <c r="I25" s="145"/>
      <c r="K25" s="3"/>
    </row>
    <row r="26" spans="1:11" s="7" customFormat="1" ht="30.6" customHeight="1" x14ac:dyDescent="0.2">
      <c r="A26" s="176"/>
      <c r="B26" s="179"/>
      <c r="C26" s="180"/>
      <c r="D26" s="181"/>
      <c r="E26" s="16" t="s">
        <v>102</v>
      </c>
      <c r="F26" s="25">
        <v>0.4</v>
      </c>
      <c r="G26" s="93"/>
      <c r="H26" s="128"/>
      <c r="I26" s="145"/>
      <c r="K26" s="3"/>
    </row>
    <row r="27" spans="1:11" s="7" customFormat="1" ht="30.6" customHeight="1" x14ac:dyDescent="0.2">
      <c r="A27" s="176"/>
      <c r="B27" s="157" t="s">
        <v>136</v>
      </c>
      <c r="C27" s="180"/>
      <c r="D27" s="132">
        <v>3</v>
      </c>
      <c r="E27" s="15" t="s">
        <v>111</v>
      </c>
      <c r="F27" s="24">
        <f>1/3</f>
        <v>0.33333333333333331</v>
      </c>
      <c r="G27" s="94"/>
      <c r="H27" s="128">
        <f>F27*G27+F28*G28+F29*G29</f>
        <v>0</v>
      </c>
      <c r="I27" s="145"/>
      <c r="K27" s="3"/>
    </row>
    <row r="28" spans="1:11" s="7" customFormat="1" ht="30.6" customHeight="1" x14ac:dyDescent="0.2">
      <c r="A28" s="177"/>
      <c r="B28" s="157"/>
      <c r="C28" s="167"/>
      <c r="D28" s="132"/>
      <c r="E28" s="16" t="s">
        <v>112</v>
      </c>
      <c r="F28" s="25">
        <f t="shared" ref="F28:F29" si="0">1/3</f>
        <v>0.33333333333333331</v>
      </c>
      <c r="G28" s="98"/>
      <c r="H28" s="128"/>
      <c r="I28" s="145"/>
      <c r="K28" s="3"/>
    </row>
    <row r="29" spans="1:11" s="7" customFormat="1" ht="30.6" customHeight="1" x14ac:dyDescent="0.2">
      <c r="A29" s="177"/>
      <c r="B29" s="157"/>
      <c r="C29" s="167"/>
      <c r="D29" s="132"/>
      <c r="E29" s="17" t="s">
        <v>102</v>
      </c>
      <c r="F29" s="26">
        <f t="shared" si="0"/>
        <v>0.33333333333333331</v>
      </c>
      <c r="G29" s="95"/>
      <c r="H29" s="128"/>
      <c r="I29" s="145"/>
      <c r="K29" s="3"/>
    </row>
    <row r="30" spans="1:11" s="7" customFormat="1" ht="30.6" customHeight="1" x14ac:dyDescent="0.2">
      <c r="A30" s="188" t="s">
        <v>53</v>
      </c>
      <c r="B30" s="190" t="s">
        <v>138</v>
      </c>
      <c r="C30" s="142">
        <v>1</v>
      </c>
      <c r="D30" s="125">
        <v>1</v>
      </c>
      <c r="E30" s="15" t="s">
        <v>149</v>
      </c>
      <c r="F30" s="24">
        <v>0.5</v>
      </c>
      <c r="G30" s="97"/>
      <c r="H30" s="136">
        <f>G30*F30+G31*F31</f>
        <v>0</v>
      </c>
      <c r="I30" s="134">
        <f>(H30*D30)/C30</f>
        <v>0</v>
      </c>
      <c r="K30" s="3"/>
    </row>
    <row r="31" spans="1:11" s="7" customFormat="1" ht="30.6" customHeight="1" x14ac:dyDescent="0.2">
      <c r="A31" s="189"/>
      <c r="B31" s="191"/>
      <c r="C31" s="123"/>
      <c r="D31" s="127"/>
      <c r="E31" s="17" t="s">
        <v>107</v>
      </c>
      <c r="F31" s="26">
        <v>0.5</v>
      </c>
      <c r="G31" s="96"/>
      <c r="H31" s="131"/>
      <c r="I31" s="135"/>
      <c r="K31" s="3"/>
    </row>
    <row r="32" spans="1:11" s="7" customFormat="1" ht="30.6" customHeight="1" x14ac:dyDescent="0.2">
      <c r="A32" s="171" t="s">
        <v>35</v>
      </c>
      <c r="B32" s="29" t="s">
        <v>36</v>
      </c>
      <c r="C32" s="173">
        <v>3</v>
      </c>
      <c r="D32" s="14">
        <v>2</v>
      </c>
      <c r="E32" s="15" t="s">
        <v>23</v>
      </c>
      <c r="F32" s="24">
        <v>1</v>
      </c>
      <c r="G32" s="97"/>
      <c r="H32" s="23">
        <f>G32*F32</f>
        <v>0</v>
      </c>
      <c r="I32" s="134">
        <f>(H32*D32+H33*D33)/C32</f>
        <v>0</v>
      </c>
      <c r="K32" s="3"/>
    </row>
    <row r="33" spans="1:11" s="7" customFormat="1" ht="30.6" customHeight="1" x14ac:dyDescent="0.2">
      <c r="A33" s="172"/>
      <c r="B33" s="30" t="s">
        <v>37</v>
      </c>
      <c r="C33" s="174"/>
      <c r="D33" s="22">
        <v>1</v>
      </c>
      <c r="E33" s="54" t="s">
        <v>23</v>
      </c>
      <c r="F33" s="55">
        <v>1</v>
      </c>
      <c r="G33" s="99"/>
      <c r="H33" s="12">
        <f>G33*F33</f>
        <v>0</v>
      </c>
      <c r="I33" s="135"/>
      <c r="K33" s="3"/>
    </row>
    <row r="34" spans="1:11" s="7" customFormat="1" ht="30.6" customHeight="1" x14ac:dyDescent="0.2">
      <c r="A34" s="182" t="s">
        <v>38</v>
      </c>
      <c r="B34" s="140" t="s">
        <v>51</v>
      </c>
      <c r="C34" s="142">
        <v>4</v>
      </c>
      <c r="D34" s="144">
        <v>1</v>
      </c>
      <c r="E34" s="15" t="s">
        <v>108</v>
      </c>
      <c r="F34" s="24">
        <v>0.5</v>
      </c>
      <c r="G34" s="97"/>
      <c r="H34" s="136">
        <f>G34*F34+G35*F35</f>
        <v>0</v>
      </c>
      <c r="I34" s="134">
        <f>(H34*D34+H36*D36+H38*D38)/C34</f>
        <v>0</v>
      </c>
      <c r="K34" s="3"/>
    </row>
    <row r="35" spans="1:11" s="7" customFormat="1" ht="30.6" customHeight="1" x14ac:dyDescent="0.2">
      <c r="A35" s="183"/>
      <c r="B35" s="141"/>
      <c r="C35" s="122"/>
      <c r="D35" s="132"/>
      <c r="E35" s="16" t="s">
        <v>109</v>
      </c>
      <c r="F35" s="25">
        <v>0.5</v>
      </c>
      <c r="G35" s="93"/>
      <c r="H35" s="128"/>
      <c r="I35" s="145"/>
      <c r="K35" s="3"/>
    </row>
    <row r="36" spans="1:11" s="7" customFormat="1" ht="30.6" customHeight="1" x14ac:dyDescent="0.2">
      <c r="A36" s="183"/>
      <c r="B36" s="141" t="s">
        <v>52</v>
      </c>
      <c r="C36" s="122"/>
      <c r="D36" s="132">
        <v>2.5</v>
      </c>
      <c r="E36" s="15" t="s">
        <v>110</v>
      </c>
      <c r="F36" s="24">
        <v>0.5</v>
      </c>
      <c r="G36" s="94"/>
      <c r="H36" s="128">
        <f>G36*F36+G37*F37</f>
        <v>0</v>
      </c>
      <c r="I36" s="145"/>
      <c r="K36" s="3"/>
    </row>
    <row r="37" spans="1:11" s="7" customFormat="1" ht="30.6" customHeight="1" x14ac:dyDescent="0.2">
      <c r="A37" s="183"/>
      <c r="B37" s="141"/>
      <c r="C37" s="122"/>
      <c r="D37" s="132"/>
      <c r="E37" s="17" t="s">
        <v>148</v>
      </c>
      <c r="F37" s="26">
        <v>0.5</v>
      </c>
      <c r="G37" s="95"/>
      <c r="H37" s="128"/>
      <c r="I37" s="145"/>
      <c r="K37" s="3"/>
    </row>
    <row r="38" spans="1:11" s="7" customFormat="1" ht="30.6" customHeight="1" x14ac:dyDescent="0.2">
      <c r="A38" s="184"/>
      <c r="B38" s="46" t="s">
        <v>41</v>
      </c>
      <c r="C38" s="123"/>
      <c r="D38" s="22">
        <v>0.5</v>
      </c>
      <c r="E38" s="17" t="s">
        <v>23</v>
      </c>
      <c r="F38" s="26">
        <v>1</v>
      </c>
      <c r="G38" s="96"/>
      <c r="H38" s="12">
        <f>G38*F38</f>
        <v>0</v>
      </c>
      <c r="I38" s="135"/>
      <c r="K38" s="3"/>
    </row>
    <row r="39" spans="1:11" s="7" customFormat="1" ht="30.6" customHeight="1" x14ac:dyDescent="0.2">
      <c r="A39" s="57" t="s">
        <v>42</v>
      </c>
      <c r="B39" s="58" t="s">
        <v>139</v>
      </c>
      <c r="C39" s="52">
        <v>1</v>
      </c>
      <c r="D39" s="59">
        <v>1</v>
      </c>
      <c r="E39" s="54" t="s">
        <v>95</v>
      </c>
      <c r="F39" s="55">
        <v>1</v>
      </c>
      <c r="G39" s="100"/>
      <c r="H39" s="60">
        <f>G39*F39</f>
        <v>0</v>
      </c>
      <c r="I39" s="61">
        <f>(H39*D39)/C39</f>
        <v>0</v>
      </c>
      <c r="K39" s="3"/>
    </row>
    <row r="40" spans="1:11" s="7" customFormat="1" ht="30.6" customHeight="1" x14ac:dyDescent="0.2">
      <c r="A40" s="185" t="s">
        <v>44</v>
      </c>
      <c r="B40" s="186"/>
      <c r="C40" s="185">
        <f>SUM(C2:C39)</f>
        <v>30</v>
      </c>
      <c r="D40" s="187"/>
      <c r="E40" s="150">
        <f>(I2*C2+I8*C8+I11*C11+I24*C24+I30*C30+I32*C32+I34*C34+I39*C39)/C40</f>
        <v>0</v>
      </c>
      <c r="F40" s="151"/>
      <c r="G40" s="151"/>
      <c r="H40" s="158" t="str">
        <f>IF(OR(I2&lt;10,I8&lt;10,I11&lt;10,I24&lt;10,I30&lt;10,I32&lt;10,I34&lt;10,I39&lt;10),"Valide pas","Valide")</f>
        <v>Valide pas</v>
      </c>
      <c r="I40" s="159"/>
      <c r="K40" s="3"/>
    </row>
    <row r="41" spans="1:11" s="7" customFormat="1" ht="30.6" customHeight="1" x14ac:dyDescent="0.2">
      <c r="A41" s="3"/>
      <c r="B41" s="3"/>
      <c r="C41" s="3"/>
      <c r="D41" s="3"/>
      <c r="E41" s="3"/>
      <c r="F41" s="27"/>
      <c r="G41" s="3"/>
      <c r="H41" s="62"/>
      <c r="I41" s="62"/>
      <c r="K41" s="3"/>
    </row>
  </sheetData>
  <mergeCells count="67">
    <mergeCell ref="A11:A23"/>
    <mergeCell ref="B11:B14"/>
    <mergeCell ref="E1:G1"/>
    <mergeCell ref="H1:I1"/>
    <mergeCell ref="I2:I7"/>
    <mergeCell ref="I8:I10"/>
    <mergeCell ref="A8:A10"/>
    <mergeCell ref="B8:B9"/>
    <mergeCell ref="C8:C10"/>
    <mergeCell ref="D8:D9"/>
    <mergeCell ref="C1:D1"/>
    <mergeCell ref="A2:A7"/>
    <mergeCell ref="B2:B3"/>
    <mergeCell ref="C2:C7"/>
    <mergeCell ref="D2:D3"/>
    <mergeCell ref="D4:D5"/>
    <mergeCell ref="E40:G40"/>
    <mergeCell ref="H40:I40"/>
    <mergeCell ref="H2:H3"/>
    <mergeCell ref="H4:H5"/>
    <mergeCell ref="H6:H7"/>
    <mergeCell ref="H8:H9"/>
    <mergeCell ref="H18:H20"/>
    <mergeCell ref="H36:H37"/>
    <mergeCell ref="H21:H23"/>
    <mergeCell ref="I32:I33"/>
    <mergeCell ref="I24:I29"/>
    <mergeCell ref="I11:I23"/>
    <mergeCell ref="D6:D7"/>
    <mergeCell ref="B6:B7"/>
    <mergeCell ref="B4:B5"/>
    <mergeCell ref="A40:B40"/>
    <mergeCell ref="C40:D40"/>
    <mergeCell ref="B18:B20"/>
    <mergeCell ref="D18:D20"/>
    <mergeCell ref="A30:A31"/>
    <mergeCell ref="B30:B31"/>
    <mergeCell ref="C30:C31"/>
    <mergeCell ref="D36:D37"/>
    <mergeCell ref="A32:A33"/>
    <mergeCell ref="C32:C33"/>
    <mergeCell ref="B21:B23"/>
    <mergeCell ref="D21:D23"/>
    <mergeCell ref="A24:A29"/>
    <mergeCell ref="A34:A38"/>
    <mergeCell ref="B34:B35"/>
    <mergeCell ref="D30:D31"/>
    <mergeCell ref="I30:I31"/>
    <mergeCell ref="H30:H31"/>
    <mergeCell ref="C34:C38"/>
    <mergeCell ref="D34:D35"/>
    <mergeCell ref="H34:H35"/>
    <mergeCell ref="I34:I38"/>
    <mergeCell ref="B36:B37"/>
    <mergeCell ref="B15:B17"/>
    <mergeCell ref="D15:D17"/>
    <mergeCell ref="H15:H17"/>
    <mergeCell ref="B24:B26"/>
    <mergeCell ref="C24:C29"/>
    <mergeCell ref="D24:D26"/>
    <mergeCell ref="H24:H26"/>
    <mergeCell ref="B27:B29"/>
    <mergeCell ref="D27:D29"/>
    <mergeCell ref="H27:H29"/>
    <mergeCell ref="C11:C23"/>
    <mergeCell ref="D11:D14"/>
    <mergeCell ref="H11:H14"/>
  </mergeCells>
  <conditionalFormatting sqref="H40">
    <cfRule type="cellIs" dxfId="27" priority="1" operator="equal">
      <formula>"Valide pas"</formula>
    </cfRule>
    <cfRule type="cellIs" dxfId="26" priority="2" operator="equal">
      <formula>"Valide"</formula>
    </cfRule>
  </conditionalFormatting>
  <conditionalFormatting sqref="I2:I39 E40">
    <cfRule type="cellIs" dxfId="25" priority="7" operator="lessThan">
      <formula>10</formula>
    </cfRule>
    <cfRule type="cellIs" dxfId="24" priority="8" operator="greaterThanOrEqual">
      <formula>10</formula>
    </cfRule>
  </conditionalFormatting>
  <pageMargins left="0" right="0" top="0.39370078740157483" bottom="0.39370078740157483" header="0" footer="0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6DAA3-DBA3-49BD-A3B6-F32EF30F30DA}">
  <dimension ref="A1:K43"/>
  <sheetViews>
    <sheetView workbookViewId="0"/>
  </sheetViews>
  <sheetFormatPr baseColWidth="10" defaultColWidth="12.140625" defaultRowHeight="30.6" customHeight="1" x14ac:dyDescent="0.2"/>
  <cols>
    <col min="1" max="2" width="35.140625" style="3" customWidth="1"/>
    <col min="3" max="4" width="12.140625" style="3" customWidth="1"/>
    <col min="5" max="5" width="23.42578125" style="3" customWidth="1"/>
    <col min="6" max="6" width="12.140625" style="27" customWidth="1"/>
    <col min="7" max="7" width="12.140625" style="3" customWidth="1"/>
    <col min="8" max="10" width="12.140625" style="7" customWidth="1"/>
    <col min="11" max="11" width="12.140625" style="3" customWidth="1"/>
    <col min="12" max="16384" width="12.140625" style="3"/>
  </cols>
  <sheetData>
    <row r="1" spans="1:11" s="1" customFormat="1" ht="30.6" customHeight="1" x14ac:dyDescent="0.2">
      <c r="A1" s="82" t="s">
        <v>20</v>
      </c>
      <c r="B1" s="83" t="s">
        <v>21</v>
      </c>
      <c r="C1" s="195" t="s">
        <v>22</v>
      </c>
      <c r="D1" s="196"/>
      <c r="E1" s="150" t="s">
        <v>90</v>
      </c>
      <c r="F1" s="151"/>
      <c r="G1" s="152"/>
      <c r="H1" s="150" t="s">
        <v>88</v>
      </c>
      <c r="I1" s="152"/>
    </row>
    <row r="2" spans="1:11" s="1" customFormat="1" ht="30.6" customHeight="1" x14ac:dyDescent="0.2">
      <c r="A2" s="197" t="s">
        <v>54</v>
      </c>
      <c r="B2" s="200" t="s">
        <v>54</v>
      </c>
      <c r="C2" s="115">
        <v>30</v>
      </c>
      <c r="D2" s="144">
        <v>30</v>
      </c>
      <c r="E2" s="23" t="s">
        <v>151</v>
      </c>
      <c r="F2" s="24">
        <f>1/3</f>
        <v>0.33333333333333331</v>
      </c>
      <c r="G2" s="88"/>
      <c r="H2" s="136">
        <f>F2*G2+F3*G3+G4*F4</f>
        <v>0</v>
      </c>
      <c r="I2" s="134">
        <f>(H2*D2)/C2</f>
        <v>0</v>
      </c>
    </row>
    <row r="3" spans="1:11" s="1" customFormat="1" ht="30.6" customHeight="1" x14ac:dyDescent="0.2">
      <c r="A3" s="198"/>
      <c r="B3" s="201"/>
      <c r="C3" s="116"/>
      <c r="D3" s="132"/>
      <c r="E3" s="11" t="s">
        <v>152</v>
      </c>
      <c r="F3" s="25">
        <f>1/3</f>
        <v>0.33333333333333331</v>
      </c>
      <c r="G3" s="89"/>
      <c r="H3" s="128"/>
      <c r="I3" s="145"/>
    </row>
    <row r="4" spans="1:11" ht="30.6" customHeight="1" x14ac:dyDescent="0.2">
      <c r="A4" s="199"/>
      <c r="B4" s="202"/>
      <c r="C4" s="117"/>
      <c r="D4" s="133"/>
      <c r="E4" s="17" t="s">
        <v>153</v>
      </c>
      <c r="F4" s="26">
        <f>1/3</f>
        <v>0.33333333333333331</v>
      </c>
      <c r="G4" s="95"/>
      <c r="H4" s="131"/>
      <c r="I4" s="135"/>
      <c r="J4" s="3"/>
    </row>
    <row r="5" spans="1:11" ht="30.6" customHeight="1" x14ac:dyDescent="0.2">
      <c r="A5" s="158" t="s">
        <v>44</v>
      </c>
      <c r="B5" s="159"/>
      <c r="C5" s="158">
        <f>SUM(C2:C2)</f>
        <v>30</v>
      </c>
      <c r="D5" s="159"/>
      <c r="E5" s="150">
        <f>(I2*C2)/C5</f>
        <v>0</v>
      </c>
      <c r="F5" s="151"/>
      <c r="G5" s="152"/>
      <c r="H5" s="158" t="str">
        <f>IF(OR(I2&lt;10),"Valide pas","Valide")</f>
        <v>Valide pas</v>
      </c>
      <c r="I5" s="159"/>
      <c r="J5" s="3"/>
    </row>
    <row r="6" spans="1:11" ht="30.6" customHeight="1" x14ac:dyDescent="0.2">
      <c r="H6" s="62"/>
      <c r="I6" s="62"/>
    </row>
    <row r="12" spans="1:11" s="7" customFormat="1" ht="30.6" customHeight="1" x14ac:dyDescent="0.2">
      <c r="A12" s="3"/>
      <c r="B12" s="3"/>
      <c r="C12" s="3"/>
      <c r="D12" s="3"/>
      <c r="E12" s="3"/>
      <c r="F12" s="27"/>
      <c r="G12" s="3"/>
      <c r="K12" s="3"/>
    </row>
    <row r="13" spans="1:11" s="7" customFormat="1" ht="30.6" customHeight="1" x14ac:dyDescent="0.2">
      <c r="A13" s="3"/>
      <c r="B13" s="3"/>
      <c r="C13" s="3"/>
      <c r="D13" s="3"/>
      <c r="E13" s="3"/>
      <c r="F13" s="27"/>
      <c r="G13" s="3"/>
      <c r="K13" s="3"/>
    </row>
    <row r="14" spans="1:11" s="7" customFormat="1" ht="30.6" customHeight="1" x14ac:dyDescent="0.2">
      <c r="A14" s="3"/>
      <c r="B14" s="3"/>
      <c r="C14" s="3"/>
      <c r="D14" s="3"/>
      <c r="E14" s="3"/>
      <c r="F14" s="27"/>
      <c r="G14" s="3"/>
      <c r="K14" s="3"/>
    </row>
    <row r="15" spans="1:11" s="7" customFormat="1" ht="30.6" customHeight="1" x14ac:dyDescent="0.2">
      <c r="A15" s="3"/>
      <c r="B15" s="3"/>
      <c r="C15" s="3"/>
      <c r="D15" s="3"/>
      <c r="E15" s="3"/>
      <c r="F15" s="27"/>
      <c r="G15" s="3"/>
      <c r="K15" s="3"/>
    </row>
    <row r="16" spans="1:11" s="7" customFormat="1" ht="30.6" customHeight="1" x14ac:dyDescent="0.2">
      <c r="A16" s="3"/>
      <c r="B16" s="3"/>
      <c r="C16" s="3"/>
      <c r="D16" s="3"/>
      <c r="E16" s="3"/>
      <c r="F16" s="27"/>
      <c r="G16" s="3"/>
      <c r="K16" s="3"/>
    </row>
    <row r="17" spans="1:11" s="7" customFormat="1" ht="30.6" customHeight="1" x14ac:dyDescent="0.2">
      <c r="A17" s="3"/>
      <c r="B17" s="3"/>
      <c r="C17" s="3"/>
      <c r="D17" s="3"/>
      <c r="E17" s="3"/>
      <c r="F17" s="27"/>
      <c r="G17" s="3"/>
      <c r="K17" s="3"/>
    </row>
    <row r="18" spans="1:11" s="7" customFormat="1" ht="30.6" customHeight="1" x14ac:dyDescent="0.2">
      <c r="A18" s="3"/>
      <c r="B18" s="3"/>
      <c r="C18" s="3"/>
      <c r="D18" s="3"/>
      <c r="E18" s="3"/>
      <c r="F18" s="27"/>
      <c r="G18" s="3"/>
      <c r="K18" s="3"/>
    </row>
    <row r="19" spans="1:11" s="7" customFormat="1" ht="30.6" customHeight="1" x14ac:dyDescent="0.2">
      <c r="A19" s="3"/>
      <c r="B19" s="3"/>
      <c r="C19" s="3"/>
      <c r="D19" s="3"/>
      <c r="E19" s="3"/>
      <c r="F19" s="27"/>
      <c r="G19" s="3"/>
      <c r="K19" s="3"/>
    </row>
    <row r="20" spans="1:11" s="7" customFormat="1" ht="30.6" customHeight="1" x14ac:dyDescent="0.2">
      <c r="A20" s="3"/>
      <c r="B20" s="3"/>
      <c r="C20" s="3"/>
      <c r="D20" s="3"/>
      <c r="E20" s="3"/>
      <c r="F20" s="27"/>
      <c r="G20" s="3"/>
      <c r="K20" s="3"/>
    </row>
    <row r="21" spans="1:11" s="7" customFormat="1" ht="30.6" customHeight="1" x14ac:dyDescent="0.2">
      <c r="A21" s="3"/>
      <c r="B21" s="3"/>
      <c r="C21" s="3"/>
      <c r="D21" s="3"/>
      <c r="E21" s="3"/>
      <c r="F21" s="27"/>
      <c r="G21" s="3"/>
      <c r="K21" s="3"/>
    </row>
    <row r="22" spans="1:11" s="7" customFormat="1" ht="30.6" customHeight="1" x14ac:dyDescent="0.2">
      <c r="A22" s="3"/>
      <c r="B22" s="3"/>
      <c r="C22" s="3"/>
      <c r="D22" s="3"/>
      <c r="E22" s="3"/>
      <c r="F22" s="27"/>
      <c r="G22" s="3"/>
      <c r="K22" s="3"/>
    </row>
    <row r="23" spans="1:11" s="7" customFormat="1" ht="30.6" customHeight="1" x14ac:dyDescent="0.2">
      <c r="A23" s="3"/>
      <c r="B23" s="3"/>
      <c r="C23" s="3"/>
      <c r="D23" s="3"/>
      <c r="E23" s="3"/>
      <c r="F23" s="27"/>
      <c r="G23" s="3"/>
      <c r="K23" s="3"/>
    </row>
    <row r="24" spans="1:11" s="7" customFormat="1" ht="30.6" customHeight="1" x14ac:dyDescent="0.2">
      <c r="A24" s="3"/>
      <c r="B24" s="3"/>
      <c r="C24" s="3"/>
      <c r="D24" s="3"/>
      <c r="E24" s="3"/>
      <c r="F24" s="27"/>
      <c r="G24" s="3"/>
      <c r="K24" s="3"/>
    </row>
    <row r="25" spans="1:11" s="7" customFormat="1" ht="30.6" customHeight="1" x14ac:dyDescent="0.2">
      <c r="A25" s="3"/>
      <c r="B25" s="3"/>
      <c r="C25" s="3"/>
      <c r="D25" s="3"/>
      <c r="E25" s="3"/>
      <c r="F25" s="27"/>
      <c r="G25" s="3"/>
      <c r="K25" s="3"/>
    </row>
    <row r="26" spans="1:11" s="7" customFormat="1" ht="30.6" customHeight="1" x14ac:dyDescent="0.2">
      <c r="A26" s="3"/>
      <c r="B26" s="3"/>
      <c r="C26" s="3"/>
      <c r="D26" s="3"/>
      <c r="E26" s="3"/>
      <c r="F26" s="27"/>
      <c r="G26" s="3"/>
      <c r="K26" s="3"/>
    </row>
    <row r="27" spans="1:11" s="7" customFormat="1" ht="30.6" customHeight="1" x14ac:dyDescent="0.2">
      <c r="A27" s="3"/>
      <c r="B27" s="3"/>
      <c r="C27" s="3"/>
      <c r="D27" s="3"/>
      <c r="E27" s="3"/>
      <c r="F27" s="27"/>
      <c r="G27" s="3"/>
      <c r="K27" s="3"/>
    </row>
    <row r="28" spans="1:11" s="7" customFormat="1" ht="30.6" customHeight="1" x14ac:dyDescent="0.2">
      <c r="A28" s="3"/>
      <c r="B28" s="3"/>
      <c r="C28" s="3"/>
      <c r="D28" s="3"/>
      <c r="E28" s="3"/>
      <c r="F28" s="27"/>
      <c r="G28" s="3"/>
      <c r="K28" s="3"/>
    </row>
    <row r="29" spans="1:11" s="7" customFormat="1" ht="30.6" customHeight="1" x14ac:dyDescent="0.2">
      <c r="A29" s="3"/>
      <c r="B29" s="3"/>
      <c r="C29" s="3"/>
      <c r="D29" s="3"/>
      <c r="E29" s="3"/>
      <c r="F29" s="27"/>
      <c r="G29" s="3"/>
      <c r="K29" s="3"/>
    </row>
    <row r="30" spans="1:11" s="7" customFormat="1" ht="30.6" customHeight="1" x14ac:dyDescent="0.2">
      <c r="A30" s="3"/>
      <c r="B30" s="3"/>
      <c r="C30" s="3"/>
      <c r="D30" s="3"/>
      <c r="E30" s="3"/>
      <c r="F30" s="27"/>
      <c r="G30" s="3"/>
      <c r="K30" s="3"/>
    </row>
    <row r="31" spans="1:11" s="7" customFormat="1" ht="30.6" customHeight="1" x14ac:dyDescent="0.2">
      <c r="A31" s="3"/>
      <c r="B31" s="3"/>
      <c r="C31" s="3"/>
      <c r="D31" s="3"/>
      <c r="E31" s="3"/>
      <c r="F31" s="27"/>
      <c r="G31" s="3"/>
      <c r="K31" s="3"/>
    </row>
    <row r="32" spans="1:11" s="7" customFormat="1" ht="30.6" customHeight="1" x14ac:dyDescent="0.2">
      <c r="A32" s="3"/>
      <c r="B32" s="3"/>
      <c r="C32" s="3"/>
      <c r="D32" s="3"/>
      <c r="E32" s="3"/>
      <c r="F32" s="27"/>
      <c r="G32" s="3"/>
      <c r="K32" s="3"/>
    </row>
    <row r="33" spans="1:11" s="7" customFormat="1" ht="30.6" customHeight="1" x14ac:dyDescent="0.2">
      <c r="A33" s="3"/>
      <c r="B33" s="3"/>
      <c r="C33" s="3"/>
      <c r="D33" s="3"/>
      <c r="E33" s="3"/>
      <c r="F33" s="27"/>
      <c r="G33" s="3"/>
      <c r="K33" s="3"/>
    </row>
    <row r="34" spans="1:11" s="7" customFormat="1" ht="30.6" customHeight="1" x14ac:dyDescent="0.2">
      <c r="A34" s="3"/>
      <c r="B34" s="3"/>
      <c r="C34" s="3"/>
      <c r="D34" s="3"/>
      <c r="E34" s="3"/>
      <c r="F34" s="27"/>
      <c r="G34" s="3"/>
      <c r="K34" s="3"/>
    </row>
    <row r="35" spans="1:11" s="7" customFormat="1" ht="30.6" customHeight="1" x14ac:dyDescent="0.2">
      <c r="A35" s="3"/>
      <c r="B35" s="3"/>
      <c r="C35" s="3"/>
      <c r="D35" s="3"/>
      <c r="E35" s="3"/>
      <c r="F35" s="27"/>
      <c r="G35" s="3"/>
      <c r="K35" s="3"/>
    </row>
    <row r="36" spans="1:11" s="7" customFormat="1" ht="30.6" customHeight="1" x14ac:dyDescent="0.2">
      <c r="A36" s="3"/>
      <c r="B36" s="3"/>
      <c r="C36" s="3"/>
      <c r="D36" s="3"/>
      <c r="E36" s="3"/>
      <c r="F36" s="27"/>
      <c r="G36" s="3"/>
      <c r="K36" s="3"/>
    </row>
    <row r="37" spans="1:11" s="7" customFormat="1" ht="30.6" customHeight="1" x14ac:dyDescent="0.2">
      <c r="A37" s="3"/>
      <c r="B37" s="3"/>
      <c r="C37" s="3"/>
      <c r="D37" s="3"/>
      <c r="E37" s="3"/>
      <c r="F37" s="27"/>
      <c r="G37" s="3"/>
      <c r="K37" s="3"/>
    </row>
    <row r="38" spans="1:11" s="7" customFormat="1" ht="30.6" customHeight="1" x14ac:dyDescent="0.2">
      <c r="A38" s="3"/>
      <c r="B38" s="3"/>
      <c r="C38" s="3"/>
      <c r="D38" s="3"/>
      <c r="E38" s="3"/>
      <c r="F38" s="27"/>
      <c r="G38" s="3"/>
      <c r="K38" s="3"/>
    </row>
    <row r="39" spans="1:11" s="7" customFormat="1" ht="30.6" customHeight="1" x14ac:dyDescent="0.2">
      <c r="A39" s="3"/>
      <c r="B39" s="3"/>
      <c r="C39" s="3"/>
      <c r="D39" s="3"/>
      <c r="E39" s="3"/>
      <c r="F39" s="27"/>
      <c r="G39" s="3"/>
      <c r="K39" s="3"/>
    </row>
    <row r="40" spans="1:11" s="7" customFormat="1" ht="30.6" customHeight="1" x14ac:dyDescent="0.2">
      <c r="A40" s="3"/>
      <c r="B40" s="3"/>
      <c r="C40" s="3"/>
      <c r="D40" s="3"/>
      <c r="E40" s="3"/>
      <c r="F40" s="27"/>
      <c r="G40" s="3"/>
      <c r="K40" s="3"/>
    </row>
    <row r="41" spans="1:11" s="7" customFormat="1" ht="30.6" customHeight="1" x14ac:dyDescent="0.2">
      <c r="A41" s="3"/>
      <c r="B41" s="3"/>
      <c r="C41" s="3"/>
      <c r="D41" s="3"/>
      <c r="E41" s="3"/>
      <c r="F41" s="27"/>
      <c r="G41" s="3"/>
      <c r="K41" s="3"/>
    </row>
    <row r="42" spans="1:11" s="7" customFormat="1" ht="30.6" customHeight="1" x14ac:dyDescent="0.2">
      <c r="A42" s="3"/>
      <c r="B42" s="3"/>
      <c r="C42" s="3"/>
      <c r="D42" s="3"/>
      <c r="E42" s="3"/>
      <c r="F42" s="27"/>
      <c r="G42" s="3"/>
      <c r="K42" s="3"/>
    </row>
    <row r="43" spans="1:11" s="7" customFormat="1" ht="30.6" customHeight="1" x14ac:dyDescent="0.2">
      <c r="A43" s="3"/>
      <c r="B43" s="3"/>
      <c r="C43" s="3"/>
      <c r="D43" s="3"/>
      <c r="E43" s="3"/>
      <c r="F43" s="27"/>
      <c r="G43" s="3"/>
      <c r="K43" s="3"/>
    </row>
  </sheetData>
  <mergeCells count="13">
    <mergeCell ref="C1:D1"/>
    <mergeCell ref="E1:G1"/>
    <mergeCell ref="H1:I1"/>
    <mergeCell ref="H2:H4"/>
    <mergeCell ref="A5:B5"/>
    <mergeCell ref="C5:D5"/>
    <mergeCell ref="E5:G5"/>
    <mergeCell ref="H5:I5"/>
    <mergeCell ref="A2:A4"/>
    <mergeCell ref="B2:B4"/>
    <mergeCell ref="C2:C4"/>
    <mergeCell ref="D2:D4"/>
    <mergeCell ref="I2:I4"/>
  </mergeCells>
  <conditionalFormatting sqref="H5">
    <cfRule type="cellIs" dxfId="23" priority="1" operator="equal">
      <formula>"Valide pas"</formula>
    </cfRule>
    <cfRule type="cellIs" dxfId="22" priority="2" operator="equal">
      <formula>"Valide"</formula>
    </cfRule>
  </conditionalFormatting>
  <conditionalFormatting sqref="I2 E5">
    <cfRule type="cellIs" dxfId="21" priority="3" operator="lessThan">
      <formula>10</formula>
    </cfRule>
    <cfRule type="cellIs" dxfId="20" priority="4" operator="greaterThanOrEqual">
      <formula>10</formula>
    </cfRule>
  </conditionalFormatting>
  <pageMargins left="0" right="0" top="0.39370078740157483" bottom="0.39370078740157483" header="0" footer="0"/>
  <headerFooter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6D249-F910-483A-9894-B4C0568AF5EA}">
  <dimension ref="A1:K44"/>
  <sheetViews>
    <sheetView workbookViewId="0"/>
  </sheetViews>
  <sheetFormatPr baseColWidth="10" defaultColWidth="12.140625" defaultRowHeight="30.6" customHeight="1" x14ac:dyDescent="0.2"/>
  <cols>
    <col min="1" max="2" width="35.140625" style="3" customWidth="1"/>
    <col min="3" max="4" width="12.140625" style="3" customWidth="1"/>
    <col min="5" max="5" width="23.42578125" style="3" customWidth="1"/>
    <col min="6" max="6" width="12.140625" style="27" customWidth="1"/>
    <col min="7" max="7" width="12.140625" style="3" customWidth="1"/>
    <col min="8" max="10" width="12.140625" style="7" customWidth="1"/>
    <col min="11" max="11" width="12.140625" style="3" customWidth="1"/>
    <col min="12" max="16384" width="12.140625" style="3"/>
  </cols>
  <sheetData>
    <row r="1" spans="1:10" s="1" customFormat="1" ht="30.6" customHeight="1" x14ac:dyDescent="0.2">
      <c r="A1" s="18" t="s">
        <v>20</v>
      </c>
      <c r="B1" s="37" t="s">
        <v>21</v>
      </c>
      <c r="C1" s="146" t="s">
        <v>22</v>
      </c>
      <c r="D1" s="147"/>
      <c r="E1" s="150" t="s">
        <v>90</v>
      </c>
      <c r="F1" s="151"/>
      <c r="G1" s="152"/>
      <c r="H1" s="150" t="s">
        <v>88</v>
      </c>
      <c r="I1" s="152"/>
    </row>
    <row r="2" spans="1:10" ht="30.6" customHeight="1" x14ac:dyDescent="0.2">
      <c r="A2" s="110" t="s">
        <v>55</v>
      </c>
      <c r="B2" s="212" t="s">
        <v>56</v>
      </c>
      <c r="C2" s="115">
        <v>10</v>
      </c>
      <c r="D2" s="144">
        <v>2</v>
      </c>
      <c r="E2" s="11" t="s">
        <v>98</v>
      </c>
      <c r="F2" s="25">
        <f>30/225</f>
        <v>0.13333333333333333</v>
      </c>
      <c r="G2" s="93"/>
      <c r="H2" s="136">
        <f>G2*F2+G3*F3+G4*F4+G5*F5</f>
        <v>0</v>
      </c>
      <c r="I2" s="134">
        <f>(H2*D2+H6*D6+H10*D10+H13*D13)/C2</f>
        <v>0</v>
      </c>
      <c r="J2" s="3"/>
    </row>
    <row r="3" spans="1:10" ht="30.6" customHeight="1" x14ac:dyDescent="0.2">
      <c r="A3" s="111"/>
      <c r="B3" s="118"/>
      <c r="C3" s="116"/>
      <c r="D3" s="132"/>
      <c r="E3" s="11" t="s">
        <v>99</v>
      </c>
      <c r="F3" s="25">
        <f>70/225</f>
        <v>0.31111111111111112</v>
      </c>
      <c r="G3" s="93"/>
      <c r="H3" s="128"/>
      <c r="I3" s="145"/>
      <c r="J3" s="3"/>
    </row>
    <row r="4" spans="1:10" ht="30.6" customHeight="1" x14ac:dyDescent="0.2">
      <c r="A4" s="111"/>
      <c r="B4" s="118"/>
      <c r="C4" s="116"/>
      <c r="D4" s="132"/>
      <c r="E4" s="11" t="s">
        <v>174</v>
      </c>
      <c r="F4" s="25">
        <f>75/225</f>
        <v>0.33333333333333331</v>
      </c>
      <c r="G4" s="93"/>
      <c r="H4" s="128"/>
      <c r="I4" s="145"/>
      <c r="J4" s="3"/>
    </row>
    <row r="5" spans="1:10" ht="30.6" customHeight="1" x14ac:dyDescent="0.2">
      <c r="A5" s="111"/>
      <c r="B5" s="118"/>
      <c r="C5" s="116"/>
      <c r="D5" s="132"/>
      <c r="E5" s="11" t="s">
        <v>89</v>
      </c>
      <c r="F5" s="25">
        <f>50/225</f>
        <v>0.22222222222222221</v>
      </c>
      <c r="G5" s="93"/>
      <c r="H5" s="128"/>
      <c r="I5" s="145"/>
      <c r="J5" s="3"/>
    </row>
    <row r="6" spans="1:10" ht="30.6" customHeight="1" x14ac:dyDescent="0.2">
      <c r="A6" s="111"/>
      <c r="B6" s="118" t="s">
        <v>154</v>
      </c>
      <c r="C6" s="116"/>
      <c r="D6" s="126">
        <v>3</v>
      </c>
      <c r="E6" s="23" t="s">
        <v>146</v>
      </c>
      <c r="F6" s="24">
        <v>0.1</v>
      </c>
      <c r="G6" s="94"/>
      <c r="H6" s="213">
        <f>G6*F6+G7*F7+G8*F8+G9*F9</f>
        <v>0</v>
      </c>
      <c r="I6" s="145"/>
    </row>
    <row r="7" spans="1:10" ht="30.6" customHeight="1" x14ac:dyDescent="0.2">
      <c r="A7" s="111"/>
      <c r="B7" s="118"/>
      <c r="C7" s="116"/>
      <c r="D7" s="126"/>
      <c r="E7" s="11" t="s">
        <v>98</v>
      </c>
      <c r="F7" s="25">
        <v>0.2</v>
      </c>
      <c r="G7" s="98"/>
      <c r="H7" s="213"/>
      <c r="I7" s="145"/>
    </row>
    <row r="8" spans="1:10" ht="30.6" customHeight="1" x14ac:dyDescent="0.2">
      <c r="A8" s="111"/>
      <c r="B8" s="118"/>
      <c r="C8" s="116"/>
      <c r="D8" s="126"/>
      <c r="E8" s="11" t="s">
        <v>99</v>
      </c>
      <c r="F8" s="25">
        <v>0.3</v>
      </c>
      <c r="G8" s="98"/>
      <c r="H8" s="213"/>
      <c r="I8" s="145"/>
    </row>
    <row r="9" spans="1:10" ht="30.6" customHeight="1" x14ac:dyDescent="0.2">
      <c r="A9" s="111"/>
      <c r="B9" s="118"/>
      <c r="C9" s="116"/>
      <c r="D9" s="126"/>
      <c r="E9" s="12" t="s">
        <v>102</v>
      </c>
      <c r="F9" s="26">
        <v>0.4</v>
      </c>
      <c r="G9" s="95"/>
      <c r="H9" s="213"/>
      <c r="I9" s="145"/>
    </row>
    <row r="10" spans="1:10" ht="30.6" customHeight="1" x14ac:dyDescent="0.2">
      <c r="A10" s="111"/>
      <c r="B10" s="118" t="s">
        <v>57</v>
      </c>
      <c r="C10" s="116"/>
      <c r="D10" s="132">
        <v>3</v>
      </c>
      <c r="E10" s="23" t="s">
        <v>95</v>
      </c>
      <c r="F10" s="24">
        <v>0.2</v>
      </c>
      <c r="G10" s="94"/>
      <c r="H10" s="128">
        <f>G10*F10+G11*F11+G12*F12</f>
        <v>0</v>
      </c>
      <c r="I10" s="145"/>
    </row>
    <row r="11" spans="1:10" ht="30.6" customHeight="1" x14ac:dyDescent="0.2">
      <c r="A11" s="111"/>
      <c r="B11" s="118"/>
      <c r="C11" s="116"/>
      <c r="D11" s="132"/>
      <c r="E11" s="11" t="s">
        <v>146</v>
      </c>
      <c r="F11" s="25">
        <v>0.4</v>
      </c>
      <c r="G11" s="98"/>
      <c r="H11" s="128"/>
      <c r="I11" s="145"/>
    </row>
    <row r="12" spans="1:10" ht="30.6" customHeight="1" x14ac:dyDescent="0.2">
      <c r="A12" s="111"/>
      <c r="B12" s="118"/>
      <c r="C12" s="116"/>
      <c r="D12" s="132"/>
      <c r="E12" s="16" t="s">
        <v>102</v>
      </c>
      <c r="F12" s="25">
        <v>0.4</v>
      </c>
      <c r="G12" s="98"/>
      <c r="H12" s="128"/>
      <c r="I12" s="145"/>
    </row>
    <row r="13" spans="1:10" ht="30.6" customHeight="1" x14ac:dyDescent="0.2">
      <c r="A13" s="111"/>
      <c r="B13" s="118" t="s">
        <v>58</v>
      </c>
      <c r="C13" s="116"/>
      <c r="D13" s="126">
        <v>2</v>
      </c>
      <c r="E13" s="15" t="s">
        <v>95</v>
      </c>
      <c r="F13" s="24">
        <v>0.5</v>
      </c>
      <c r="G13" s="94"/>
      <c r="H13" s="213">
        <f>G13*F13+G14*F14</f>
        <v>0</v>
      </c>
      <c r="I13" s="145"/>
    </row>
    <row r="14" spans="1:10" ht="30.6" customHeight="1" x14ac:dyDescent="0.2">
      <c r="A14" s="112"/>
      <c r="B14" s="124"/>
      <c r="C14" s="117"/>
      <c r="D14" s="127"/>
      <c r="E14" s="17" t="s">
        <v>102</v>
      </c>
      <c r="F14" s="26">
        <v>0.5</v>
      </c>
      <c r="G14" s="95"/>
      <c r="H14" s="211"/>
      <c r="I14" s="135"/>
    </row>
    <row r="15" spans="1:10" ht="30.6" customHeight="1" x14ac:dyDescent="0.2">
      <c r="A15" s="119" t="s">
        <v>59</v>
      </c>
      <c r="B15" s="215" t="s">
        <v>155</v>
      </c>
      <c r="C15" s="122">
        <v>4</v>
      </c>
      <c r="D15" s="144">
        <v>2</v>
      </c>
      <c r="E15" s="15" t="s">
        <v>175</v>
      </c>
      <c r="F15" s="24">
        <v>0.2</v>
      </c>
      <c r="G15" s="94"/>
      <c r="H15" s="136">
        <f>G15*F15+G16*F16+G17*F17+G18*F18</f>
        <v>0</v>
      </c>
      <c r="I15" s="134">
        <f>(H15*D15+H19*D19)/C15</f>
        <v>0</v>
      </c>
    </row>
    <row r="16" spans="1:10" ht="30.6" customHeight="1" x14ac:dyDescent="0.2">
      <c r="A16" s="119"/>
      <c r="B16" s="121"/>
      <c r="C16" s="122"/>
      <c r="D16" s="132"/>
      <c r="E16" s="16" t="s">
        <v>176</v>
      </c>
      <c r="F16" s="25">
        <v>0.2</v>
      </c>
      <c r="G16" s="98"/>
      <c r="H16" s="128"/>
      <c r="I16" s="145"/>
    </row>
    <row r="17" spans="1:11" ht="30.6" customHeight="1" x14ac:dyDescent="0.2">
      <c r="A17" s="119"/>
      <c r="B17" s="121"/>
      <c r="C17" s="122"/>
      <c r="D17" s="132"/>
      <c r="E17" s="16" t="s">
        <v>177</v>
      </c>
      <c r="F17" s="25">
        <v>0.2</v>
      </c>
      <c r="G17" s="98"/>
      <c r="H17" s="128"/>
      <c r="I17" s="145"/>
    </row>
    <row r="18" spans="1:11" ht="30.6" customHeight="1" x14ac:dyDescent="0.2">
      <c r="A18" s="119"/>
      <c r="B18" s="121"/>
      <c r="C18" s="122"/>
      <c r="D18" s="132"/>
      <c r="E18" s="17" t="s">
        <v>102</v>
      </c>
      <c r="F18" s="26">
        <v>0.4</v>
      </c>
      <c r="G18" s="95"/>
      <c r="H18" s="128"/>
      <c r="I18" s="145"/>
    </row>
    <row r="19" spans="1:11" ht="30.6" customHeight="1" x14ac:dyDescent="0.2">
      <c r="A19" s="119"/>
      <c r="B19" s="121" t="s">
        <v>156</v>
      </c>
      <c r="C19" s="122"/>
      <c r="D19" s="132">
        <v>2</v>
      </c>
      <c r="E19" s="16" t="s">
        <v>146</v>
      </c>
      <c r="F19" s="25">
        <v>0.3</v>
      </c>
      <c r="G19" s="93"/>
      <c r="H19" s="128">
        <f>G19*F19+G20*F20+G21*F21</f>
        <v>0</v>
      </c>
      <c r="I19" s="145"/>
    </row>
    <row r="20" spans="1:11" ht="30.6" customHeight="1" x14ac:dyDescent="0.2">
      <c r="A20" s="119"/>
      <c r="B20" s="121"/>
      <c r="C20" s="122"/>
      <c r="D20" s="132"/>
      <c r="E20" s="16" t="s">
        <v>89</v>
      </c>
      <c r="F20" s="25">
        <v>0.3</v>
      </c>
      <c r="G20" s="93"/>
      <c r="H20" s="128"/>
      <c r="I20" s="145"/>
    </row>
    <row r="21" spans="1:11" s="7" customFormat="1" ht="30.6" customHeight="1" x14ac:dyDescent="0.2">
      <c r="A21" s="119"/>
      <c r="B21" s="156"/>
      <c r="C21" s="122"/>
      <c r="D21" s="133"/>
      <c r="E21" s="16" t="s">
        <v>102</v>
      </c>
      <c r="F21" s="25">
        <v>0.4</v>
      </c>
      <c r="G21" s="93"/>
      <c r="H21" s="131"/>
      <c r="I21" s="145"/>
      <c r="K21" s="3"/>
    </row>
    <row r="22" spans="1:11" s="7" customFormat="1" ht="30.6" customHeight="1" x14ac:dyDescent="0.2">
      <c r="A22" s="160" t="s">
        <v>157</v>
      </c>
      <c r="B22" s="153" t="s">
        <v>60</v>
      </c>
      <c r="C22" s="142">
        <v>5</v>
      </c>
      <c r="D22" s="144">
        <v>2</v>
      </c>
      <c r="E22" s="15" t="s">
        <v>146</v>
      </c>
      <c r="F22" s="24">
        <v>0.1</v>
      </c>
      <c r="G22" s="97"/>
      <c r="H22" s="136">
        <f>G22*F22+G23*F23+G24*F24+G25*F25</f>
        <v>0</v>
      </c>
      <c r="I22" s="134">
        <f>(H22*D22+H26*D26+H28*D28)/C22</f>
        <v>0</v>
      </c>
      <c r="K22" s="3"/>
    </row>
    <row r="23" spans="1:11" s="7" customFormat="1" ht="30.6" customHeight="1" x14ac:dyDescent="0.2">
      <c r="A23" s="161"/>
      <c r="B23" s="154"/>
      <c r="C23" s="122"/>
      <c r="D23" s="132"/>
      <c r="E23" s="16" t="s">
        <v>98</v>
      </c>
      <c r="F23" s="25">
        <v>0.2</v>
      </c>
      <c r="G23" s="93"/>
      <c r="H23" s="128"/>
      <c r="I23" s="145"/>
      <c r="K23" s="3"/>
    </row>
    <row r="24" spans="1:11" s="7" customFormat="1" ht="30.6" customHeight="1" x14ac:dyDescent="0.2">
      <c r="A24" s="161"/>
      <c r="B24" s="154"/>
      <c r="C24" s="122"/>
      <c r="D24" s="132"/>
      <c r="E24" s="16" t="s">
        <v>99</v>
      </c>
      <c r="F24" s="25">
        <v>0.3</v>
      </c>
      <c r="G24" s="93"/>
      <c r="H24" s="128"/>
      <c r="I24" s="145"/>
      <c r="K24" s="3"/>
    </row>
    <row r="25" spans="1:11" s="7" customFormat="1" ht="30.6" customHeight="1" x14ac:dyDescent="0.2">
      <c r="A25" s="161"/>
      <c r="B25" s="154"/>
      <c r="C25" s="122"/>
      <c r="D25" s="132"/>
      <c r="E25" s="16" t="s">
        <v>102</v>
      </c>
      <c r="F25" s="25">
        <v>0.4</v>
      </c>
      <c r="G25" s="93"/>
      <c r="H25" s="128"/>
      <c r="I25" s="145"/>
      <c r="K25" s="3"/>
    </row>
    <row r="26" spans="1:11" s="7" customFormat="1" ht="30.6" customHeight="1" x14ac:dyDescent="0.2">
      <c r="A26" s="161"/>
      <c r="B26" s="154" t="s">
        <v>61</v>
      </c>
      <c r="C26" s="122"/>
      <c r="D26" s="132">
        <v>2</v>
      </c>
      <c r="E26" s="15" t="s">
        <v>100</v>
      </c>
      <c r="F26" s="24">
        <v>0.6</v>
      </c>
      <c r="G26" s="94"/>
      <c r="H26" s="128">
        <f>G26*F26+G27*F27</f>
        <v>0</v>
      </c>
      <c r="I26" s="145"/>
      <c r="K26" s="3"/>
    </row>
    <row r="27" spans="1:11" s="7" customFormat="1" ht="30.6" customHeight="1" x14ac:dyDescent="0.2">
      <c r="A27" s="161"/>
      <c r="B27" s="154"/>
      <c r="C27" s="122"/>
      <c r="D27" s="132"/>
      <c r="E27" s="16" t="s">
        <v>89</v>
      </c>
      <c r="F27" s="25">
        <v>0.4</v>
      </c>
      <c r="G27" s="98"/>
      <c r="H27" s="128"/>
      <c r="I27" s="145"/>
      <c r="K27" s="3"/>
    </row>
    <row r="28" spans="1:11" s="7" customFormat="1" ht="30.6" customHeight="1" x14ac:dyDescent="0.2">
      <c r="A28" s="161"/>
      <c r="B28" s="154" t="s">
        <v>62</v>
      </c>
      <c r="C28" s="122"/>
      <c r="D28" s="126">
        <v>1</v>
      </c>
      <c r="E28" s="15" t="s">
        <v>95</v>
      </c>
      <c r="F28" s="24">
        <f>1/3</f>
        <v>0.33333333333333331</v>
      </c>
      <c r="G28" s="94"/>
      <c r="H28" s="213">
        <f>G28*F28+G29*F29</f>
        <v>0</v>
      </c>
      <c r="I28" s="145"/>
      <c r="K28" s="3"/>
    </row>
    <row r="29" spans="1:11" s="7" customFormat="1" ht="30.6" customHeight="1" x14ac:dyDescent="0.2">
      <c r="A29" s="161"/>
      <c r="B29" s="155"/>
      <c r="C29" s="122"/>
      <c r="D29" s="127"/>
      <c r="E29" s="17" t="s">
        <v>89</v>
      </c>
      <c r="F29" s="26">
        <f>2/3</f>
        <v>0.66666666666666663</v>
      </c>
      <c r="G29" s="95"/>
      <c r="H29" s="211"/>
      <c r="I29" s="145"/>
      <c r="K29" s="3"/>
    </row>
    <row r="30" spans="1:11" s="7" customFormat="1" ht="30.6" customHeight="1" x14ac:dyDescent="0.2">
      <c r="A30" s="188" t="s">
        <v>158</v>
      </c>
      <c r="B30" s="190" t="s">
        <v>63</v>
      </c>
      <c r="C30" s="173">
        <v>3</v>
      </c>
      <c r="D30" s="144">
        <v>2</v>
      </c>
      <c r="E30" s="15" t="s">
        <v>182</v>
      </c>
      <c r="F30" s="24">
        <v>0.3</v>
      </c>
      <c r="G30" s="94"/>
      <c r="H30" s="136">
        <f>F30*G30+G31*F31+G32*F32</f>
        <v>0</v>
      </c>
      <c r="I30" s="134">
        <f>(H30*D30+H33*D33)/C30</f>
        <v>0</v>
      </c>
      <c r="K30" s="3"/>
    </row>
    <row r="31" spans="1:11" s="7" customFormat="1" ht="30.6" customHeight="1" x14ac:dyDescent="0.2">
      <c r="A31" s="214"/>
      <c r="B31" s="204"/>
      <c r="C31" s="143"/>
      <c r="D31" s="132"/>
      <c r="E31" s="16" t="s">
        <v>183</v>
      </c>
      <c r="F31" s="25">
        <v>0.3</v>
      </c>
      <c r="G31" s="98"/>
      <c r="H31" s="128"/>
      <c r="I31" s="145"/>
      <c r="K31" s="3"/>
    </row>
    <row r="32" spans="1:11" s="7" customFormat="1" ht="30.6" customHeight="1" x14ac:dyDescent="0.2">
      <c r="A32" s="214"/>
      <c r="B32" s="204"/>
      <c r="C32" s="143"/>
      <c r="D32" s="132"/>
      <c r="E32" s="17" t="s">
        <v>102</v>
      </c>
      <c r="F32" s="26">
        <v>0.4</v>
      </c>
      <c r="G32" s="95"/>
      <c r="H32" s="128"/>
      <c r="I32" s="145"/>
      <c r="K32" s="3"/>
    </row>
    <row r="33" spans="1:11" s="7" customFormat="1" ht="30.6" customHeight="1" x14ac:dyDescent="0.2">
      <c r="A33" s="189"/>
      <c r="B33" s="85" t="s">
        <v>64</v>
      </c>
      <c r="C33" s="123"/>
      <c r="D33" s="21">
        <v>1</v>
      </c>
      <c r="E33" s="54" t="s">
        <v>187</v>
      </c>
      <c r="F33" s="55">
        <v>1</v>
      </c>
      <c r="G33" s="99"/>
      <c r="H33" s="12">
        <f>G33*F33</f>
        <v>0</v>
      </c>
      <c r="I33" s="135"/>
      <c r="K33" s="3"/>
    </row>
    <row r="34" spans="1:11" s="7" customFormat="1" ht="30.6" customHeight="1" x14ac:dyDescent="0.2">
      <c r="A34" s="205" t="s">
        <v>35</v>
      </c>
      <c r="B34" s="102" t="s">
        <v>36</v>
      </c>
      <c r="C34" s="143">
        <v>3</v>
      </c>
      <c r="D34" s="3">
        <v>2</v>
      </c>
      <c r="E34" s="16" t="s">
        <v>23</v>
      </c>
      <c r="F34" s="25">
        <v>1</v>
      </c>
      <c r="G34" s="93"/>
      <c r="H34" s="11">
        <f t="shared" ref="H34:H40" si="0">G34*F34</f>
        <v>0</v>
      </c>
      <c r="I34" s="145">
        <f>(H34*D34+H35*D35)/C34</f>
        <v>0</v>
      </c>
      <c r="K34" s="3"/>
    </row>
    <row r="35" spans="1:11" s="7" customFormat="1" ht="30.6" customHeight="1" x14ac:dyDescent="0.2">
      <c r="A35" s="172"/>
      <c r="B35" s="30" t="s">
        <v>37</v>
      </c>
      <c r="C35" s="174"/>
      <c r="D35" s="22">
        <v>1</v>
      </c>
      <c r="E35" s="54" t="s">
        <v>23</v>
      </c>
      <c r="F35" s="55">
        <v>1</v>
      </c>
      <c r="G35" s="99"/>
      <c r="H35" s="12">
        <f t="shared" si="0"/>
        <v>0</v>
      </c>
      <c r="I35" s="135"/>
      <c r="K35" s="3"/>
    </row>
    <row r="36" spans="1:11" s="7" customFormat="1" ht="30.6" customHeight="1" x14ac:dyDescent="0.2">
      <c r="A36" s="182" t="s">
        <v>38</v>
      </c>
      <c r="B36" s="69" t="s">
        <v>159</v>
      </c>
      <c r="C36" s="125">
        <v>4</v>
      </c>
      <c r="D36" s="19">
        <v>1</v>
      </c>
      <c r="E36" s="54" t="s">
        <v>181</v>
      </c>
      <c r="F36" s="55">
        <v>1</v>
      </c>
      <c r="G36" s="99"/>
      <c r="H36" s="23">
        <f>G36*F36</f>
        <v>0</v>
      </c>
      <c r="I36" s="134">
        <f>(H36*D36+H37*D37+H38*D38+H40*D40)/C36</f>
        <v>0</v>
      </c>
      <c r="K36" s="3"/>
    </row>
    <row r="37" spans="1:11" s="7" customFormat="1" ht="30.6" customHeight="1" x14ac:dyDescent="0.2">
      <c r="A37" s="183"/>
      <c r="B37" s="70" t="s">
        <v>178</v>
      </c>
      <c r="C37" s="126"/>
      <c r="D37" s="3">
        <v>1.5</v>
      </c>
      <c r="E37" s="54" t="s">
        <v>180</v>
      </c>
      <c r="F37" s="55">
        <v>1</v>
      </c>
      <c r="G37" s="94"/>
      <c r="H37" s="11">
        <f>G37*F37</f>
        <v>0</v>
      </c>
      <c r="I37" s="145"/>
      <c r="K37" s="3"/>
    </row>
    <row r="38" spans="1:11" s="7" customFormat="1" ht="30.6" customHeight="1" x14ac:dyDescent="0.2">
      <c r="A38" s="183"/>
      <c r="B38" s="203" t="s">
        <v>160</v>
      </c>
      <c r="C38" s="126"/>
      <c r="D38" s="132">
        <v>1</v>
      </c>
      <c r="E38" s="15" t="s">
        <v>100</v>
      </c>
      <c r="F38" s="24">
        <v>0.5</v>
      </c>
      <c r="G38" s="94"/>
      <c r="H38" s="128">
        <f>G38*F38+G39*F39</f>
        <v>0</v>
      </c>
      <c r="I38" s="145"/>
      <c r="K38" s="3"/>
    </row>
    <row r="39" spans="1:11" s="7" customFormat="1" ht="30.6" customHeight="1" x14ac:dyDescent="0.2">
      <c r="A39" s="183"/>
      <c r="B39" s="203"/>
      <c r="C39" s="126"/>
      <c r="D39" s="132"/>
      <c r="E39" s="17" t="s">
        <v>180</v>
      </c>
      <c r="F39" s="26">
        <v>0.5</v>
      </c>
      <c r="G39" s="95"/>
      <c r="H39" s="128"/>
      <c r="I39" s="145"/>
      <c r="K39" s="3"/>
    </row>
    <row r="40" spans="1:11" s="7" customFormat="1" ht="30.6" customHeight="1" x14ac:dyDescent="0.2">
      <c r="A40" s="184"/>
      <c r="B40" s="71" t="s">
        <v>41</v>
      </c>
      <c r="C40" s="127"/>
      <c r="D40" s="22">
        <v>0.5</v>
      </c>
      <c r="E40" s="16" t="s">
        <v>23</v>
      </c>
      <c r="F40" s="25">
        <v>1</v>
      </c>
      <c r="G40" s="98"/>
      <c r="H40" s="12">
        <f t="shared" si="0"/>
        <v>0</v>
      </c>
      <c r="I40" s="135"/>
      <c r="K40" s="3"/>
    </row>
    <row r="41" spans="1:11" s="7" customFormat="1" ht="30.6" customHeight="1" x14ac:dyDescent="0.2">
      <c r="A41" s="206" t="s">
        <v>42</v>
      </c>
      <c r="B41" s="208" t="s">
        <v>161</v>
      </c>
      <c r="C41" s="142">
        <v>1</v>
      </c>
      <c r="D41" s="125">
        <v>1</v>
      </c>
      <c r="E41" s="15" t="s">
        <v>184</v>
      </c>
      <c r="F41" s="24">
        <v>0.5</v>
      </c>
      <c r="G41" s="94"/>
      <c r="H41" s="210">
        <f>G41*F41+G42*F42</f>
        <v>0</v>
      </c>
      <c r="I41" s="134">
        <f>(H41*D41)/C41</f>
        <v>0</v>
      </c>
      <c r="K41" s="3"/>
    </row>
    <row r="42" spans="1:11" s="7" customFormat="1" ht="30.6" customHeight="1" x14ac:dyDescent="0.2">
      <c r="A42" s="207"/>
      <c r="B42" s="209"/>
      <c r="C42" s="123"/>
      <c r="D42" s="127"/>
      <c r="E42" s="17" t="s">
        <v>186</v>
      </c>
      <c r="F42" s="26">
        <v>0.5</v>
      </c>
      <c r="G42" s="95"/>
      <c r="H42" s="211"/>
      <c r="I42" s="135"/>
      <c r="K42" s="3"/>
    </row>
    <row r="43" spans="1:11" s="7" customFormat="1" ht="30.6" customHeight="1" x14ac:dyDescent="0.2">
      <c r="A43" s="185" t="s">
        <v>44</v>
      </c>
      <c r="B43" s="186"/>
      <c r="C43" s="185">
        <f>SUM(C2:C41)</f>
        <v>30</v>
      </c>
      <c r="D43" s="187"/>
      <c r="E43" s="150">
        <f>(I2*C2+I15*C15+I22*C22+I30*C30+I34*C34+I36*C36+I41*C41)/C43</f>
        <v>0</v>
      </c>
      <c r="F43" s="151"/>
      <c r="G43" s="151"/>
      <c r="H43" s="158" t="str">
        <f>IF(OR(I2&lt;10,I15&lt;10,I22&lt;10,I30&lt;10,I34&lt;10,I36&lt;10,I41&lt;10),"Valide pas","Valide")</f>
        <v>Valide pas</v>
      </c>
      <c r="I43" s="159"/>
      <c r="K43" s="3"/>
    </row>
    <row r="44" spans="1:11" s="7" customFormat="1" ht="30.6" customHeight="1" x14ac:dyDescent="0.2">
      <c r="A44" s="3"/>
      <c r="B44" s="3"/>
      <c r="C44" s="3"/>
      <c r="D44" s="3"/>
      <c r="E44" s="3"/>
      <c r="F44" s="27"/>
      <c r="G44" s="3"/>
      <c r="H44" s="62"/>
      <c r="I44" s="62"/>
      <c r="K44" s="3"/>
    </row>
  </sheetData>
  <mergeCells count="64">
    <mergeCell ref="H6:H9"/>
    <mergeCell ref="B13:B14"/>
    <mergeCell ref="A30:A33"/>
    <mergeCell ref="C30:C33"/>
    <mergeCell ref="D13:D14"/>
    <mergeCell ref="H13:H14"/>
    <mergeCell ref="B28:B29"/>
    <mergeCell ref="D28:D29"/>
    <mergeCell ref="H28:H29"/>
    <mergeCell ref="B15:B18"/>
    <mergeCell ref="D15:D18"/>
    <mergeCell ref="C15:C21"/>
    <mergeCell ref="H15:H18"/>
    <mergeCell ref="A15:A21"/>
    <mergeCell ref="D22:D25"/>
    <mergeCell ref="H22:H25"/>
    <mergeCell ref="H26:H27"/>
    <mergeCell ref="A22:A29"/>
    <mergeCell ref="C1:D1"/>
    <mergeCell ref="E1:G1"/>
    <mergeCell ref="H1:I1"/>
    <mergeCell ref="A2:A14"/>
    <mergeCell ref="B2:B5"/>
    <mergeCell ref="C2:C14"/>
    <mergeCell ref="D2:D5"/>
    <mergeCell ref="H2:H5"/>
    <mergeCell ref="I2:I14"/>
    <mergeCell ref="B10:B12"/>
    <mergeCell ref="D10:D12"/>
    <mergeCell ref="H10:H12"/>
    <mergeCell ref="D6:D9"/>
    <mergeCell ref="B6:B9"/>
    <mergeCell ref="A43:B43"/>
    <mergeCell ref="C43:D43"/>
    <mergeCell ref="E43:G43"/>
    <mergeCell ref="H43:I43"/>
    <mergeCell ref="A34:A35"/>
    <mergeCell ref="C34:C35"/>
    <mergeCell ref="I34:I35"/>
    <mergeCell ref="A36:A40"/>
    <mergeCell ref="C36:C40"/>
    <mergeCell ref="I36:I40"/>
    <mergeCell ref="I41:I42"/>
    <mergeCell ref="A41:A42"/>
    <mergeCell ref="B41:B42"/>
    <mergeCell ref="C41:C42"/>
    <mergeCell ref="D41:D42"/>
    <mergeCell ref="H41:H42"/>
    <mergeCell ref="I30:I33"/>
    <mergeCell ref="I15:I21"/>
    <mergeCell ref="D38:D39"/>
    <mergeCell ref="B38:B39"/>
    <mergeCell ref="H38:H39"/>
    <mergeCell ref="D30:D32"/>
    <mergeCell ref="B30:B32"/>
    <mergeCell ref="H30:H32"/>
    <mergeCell ref="B19:B21"/>
    <mergeCell ref="D19:D21"/>
    <mergeCell ref="H19:H21"/>
    <mergeCell ref="B22:B25"/>
    <mergeCell ref="C22:C29"/>
    <mergeCell ref="I22:I29"/>
    <mergeCell ref="B26:B27"/>
    <mergeCell ref="D26:D27"/>
  </mergeCells>
  <conditionalFormatting sqref="H43">
    <cfRule type="cellIs" dxfId="19" priority="1" operator="equal">
      <formula>"Valide pas"</formula>
    </cfRule>
    <cfRule type="cellIs" dxfId="18" priority="2" operator="equal">
      <formula>"Valide"</formula>
    </cfRule>
  </conditionalFormatting>
  <conditionalFormatting sqref="I2:I41 E43">
    <cfRule type="cellIs" dxfId="17" priority="3" operator="lessThan">
      <formula>10</formula>
    </cfRule>
    <cfRule type="cellIs" dxfId="16" priority="4" operator="greaterThanOrEqual">
      <formula>10</formula>
    </cfRule>
  </conditionalFormatting>
  <pageMargins left="0" right="0" top="0.39370078740157483" bottom="0.39370078740157483" header="0" footer="0"/>
  <headerFooter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20C0A-561A-4672-8A46-D37C73C63379}">
  <dimension ref="A1:K27"/>
  <sheetViews>
    <sheetView workbookViewId="0"/>
  </sheetViews>
  <sheetFormatPr baseColWidth="10" defaultColWidth="12.140625" defaultRowHeight="30.6" customHeight="1" x14ac:dyDescent="0.2"/>
  <cols>
    <col min="1" max="2" width="35.140625" style="3" customWidth="1"/>
    <col min="3" max="4" width="12.140625" style="3" customWidth="1"/>
    <col min="5" max="5" width="23.42578125" style="3" customWidth="1"/>
    <col min="6" max="6" width="12.140625" style="27" customWidth="1"/>
    <col min="7" max="7" width="12.140625" style="3" customWidth="1"/>
    <col min="8" max="10" width="12.140625" style="7" customWidth="1"/>
    <col min="11" max="11" width="12.140625" style="3" customWidth="1"/>
    <col min="12" max="16384" width="12.140625" style="3"/>
  </cols>
  <sheetData>
    <row r="1" spans="1:11" s="1" customFormat="1" ht="30.6" customHeight="1" x14ac:dyDescent="0.2">
      <c r="A1" s="18" t="s">
        <v>20</v>
      </c>
      <c r="B1" s="37" t="s">
        <v>21</v>
      </c>
      <c r="C1" s="146" t="s">
        <v>22</v>
      </c>
      <c r="D1" s="147"/>
      <c r="E1" s="150" t="s">
        <v>90</v>
      </c>
      <c r="F1" s="151"/>
      <c r="G1" s="152"/>
      <c r="H1" s="193" t="s">
        <v>88</v>
      </c>
      <c r="I1" s="194"/>
    </row>
    <row r="2" spans="1:11" ht="30.6" customHeight="1" x14ac:dyDescent="0.2">
      <c r="A2" s="110" t="s">
        <v>65</v>
      </c>
      <c r="B2" s="79" t="s">
        <v>66</v>
      </c>
      <c r="C2" s="115">
        <v>6</v>
      </c>
      <c r="D2" s="14">
        <v>1</v>
      </c>
      <c r="E2" s="23" t="s">
        <v>23</v>
      </c>
      <c r="F2" s="24">
        <v>1</v>
      </c>
      <c r="G2" s="94"/>
      <c r="H2" s="23">
        <f>G2*F2</f>
        <v>0</v>
      </c>
      <c r="I2" s="134">
        <f>(H2*D2+H3*D3+H4*D4+H5*D5)/C2</f>
        <v>0</v>
      </c>
      <c r="J2" s="3"/>
    </row>
    <row r="3" spans="1:11" ht="30.6" customHeight="1" x14ac:dyDescent="0.2">
      <c r="A3" s="111"/>
      <c r="B3" s="39" t="s">
        <v>67</v>
      </c>
      <c r="C3" s="116"/>
      <c r="D3" s="3">
        <v>1</v>
      </c>
      <c r="E3" s="11" t="s">
        <v>23</v>
      </c>
      <c r="F3" s="25">
        <v>1</v>
      </c>
      <c r="G3" s="98"/>
      <c r="H3" s="11">
        <f t="shared" ref="H3:H25" si="0">G3*F3</f>
        <v>0</v>
      </c>
      <c r="I3" s="145"/>
    </row>
    <row r="4" spans="1:11" ht="30.6" customHeight="1" x14ac:dyDescent="0.2">
      <c r="A4" s="111"/>
      <c r="B4" s="39" t="s">
        <v>185</v>
      </c>
      <c r="C4" s="116"/>
      <c r="D4" s="3">
        <v>2</v>
      </c>
      <c r="E4" s="16" t="s">
        <v>23</v>
      </c>
      <c r="F4" s="25">
        <v>1</v>
      </c>
      <c r="G4" s="98"/>
      <c r="H4" s="11">
        <f t="shared" si="0"/>
        <v>0</v>
      </c>
      <c r="I4" s="145"/>
    </row>
    <row r="5" spans="1:11" ht="30.6" customHeight="1" x14ac:dyDescent="0.2">
      <c r="A5" s="112"/>
      <c r="B5" s="40" t="s">
        <v>162</v>
      </c>
      <c r="C5" s="117"/>
      <c r="D5" s="22">
        <v>2</v>
      </c>
      <c r="E5" s="11" t="s">
        <v>23</v>
      </c>
      <c r="F5" s="26">
        <v>1</v>
      </c>
      <c r="G5" s="95"/>
      <c r="H5" s="12">
        <f t="shared" si="0"/>
        <v>0</v>
      </c>
      <c r="I5" s="135"/>
    </row>
    <row r="6" spans="1:11" ht="30.6" customHeight="1" x14ac:dyDescent="0.2">
      <c r="A6" s="119" t="s">
        <v>68</v>
      </c>
      <c r="B6" s="35" t="s">
        <v>69</v>
      </c>
      <c r="C6" s="122">
        <v>4</v>
      </c>
      <c r="D6" s="3">
        <v>1</v>
      </c>
      <c r="E6" s="15" t="s">
        <v>23</v>
      </c>
      <c r="F6" s="24">
        <v>1</v>
      </c>
      <c r="G6" s="94"/>
      <c r="H6" s="11">
        <f t="shared" si="0"/>
        <v>0</v>
      </c>
      <c r="I6" s="134">
        <f>(H6*D6+H7*D7+H8*D8+H9*D9)/C6</f>
        <v>0</v>
      </c>
    </row>
    <row r="7" spans="1:11" ht="30.6" customHeight="1" x14ac:dyDescent="0.2">
      <c r="A7" s="119"/>
      <c r="B7" s="35" t="s">
        <v>70</v>
      </c>
      <c r="C7" s="122"/>
      <c r="D7" s="3">
        <v>1</v>
      </c>
      <c r="E7" s="16" t="s">
        <v>23</v>
      </c>
      <c r="F7" s="25">
        <v>1</v>
      </c>
      <c r="G7" s="98"/>
      <c r="H7" s="11">
        <f t="shared" si="0"/>
        <v>0</v>
      </c>
      <c r="I7" s="145"/>
    </row>
    <row r="8" spans="1:11" ht="30.6" customHeight="1" x14ac:dyDescent="0.2">
      <c r="A8" s="119"/>
      <c r="B8" s="35" t="s">
        <v>71</v>
      </c>
      <c r="C8" s="122"/>
      <c r="D8" s="3">
        <v>1</v>
      </c>
      <c r="E8" s="16" t="s">
        <v>23</v>
      </c>
      <c r="F8" s="25">
        <v>1</v>
      </c>
      <c r="G8" s="98"/>
      <c r="H8" s="11">
        <f t="shared" si="0"/>
        <v>0</v>
      </c>
      <c r="I8" s="145"/>
    </row>
    <row r="9" spans="1:11" s="7" customFormat="1" ht="30.6" customHeight="1" x14ac:dyDescent="0.2">
      <c r="A9" s="119"/>
      <c r="B9" s="35" t="s">
        <v>72</v>
      </c>
      <c r="C9" s="122"/>
      <c r="D9" s="3">
        <v>1</v>
      </c>
      <c r="E9" s="17" t="s">
        <v>23</v>
      </c>
      <c r="F9" s="26">
        <v>1</v>
      </c>
      <c r="G9" s="95"/>
      <c r="H9" s="11">
        <f t="shared" si="0"/>
        <v>0</v>
      </c>
      <c r="I9" s="135"/>
      <c r="K9" s="3"/>
    </row>
    <row r="10" spans="1:11" s="7" customFormat="1" ht="30.6" customHeight="1" x14ac:dyDescent="0.2">
      <c r="A10" s="160" t="s">
        <v>163</v>
      </c>
      <c r="B10" s="34" t="s">
        <v>164</v>
      </c>
      <c r="C10" s="142">
        <v>2</v>
      </c>
      <c r="D10" s="19">
        <v>1</v>
      </c>
      <c r="E10" s="15" t="s">
        <v>23</v>
      </c>
      <c r="F10" s="24">
        <v>1</v>
      </c>
      <c r="G10" s="94"/>
      <c r="H10" s="23">
        <f t="shared" si="0"/>
        <v>0</v>
      </c>
      <c r="I10" s="134">
        <f>(H10*D10+H11*D11)/C10</f>
        <v>0</v>
      </c>
      <c r="K10" s="3"/>
    </row>
    <row r="11" spans="1:11" s="7" customFormat="1" ht="30.6" customHeight="1" x14ac:dyDescent="0.2">
      <c r="A11" s="162"/>
      <c r="B11" s="81" t="s">
        <v>166</v>
      </c>
      <c r="C11" s="123"/>
      <c r="D11" s="21">
        <v>1</v>
      </c>
      <c r="E11" s="17" t="s">
        <v>23</v>
      </c>
      <c r="F11" s="26">
        <v>1</v>
      </c>
      <c r="G11" s="95"/>
      <c r="H11" s="12">
        <f t="shared" si="0"/>
        <v>0</v>
      </c>
      <c r="I11" s="135"/>
      <c r="K11" s="3"/>
    </row>
    <row r="12" spans="1:11" s="7" customFormat="1" ht="30.6" customHeight="1" x14ac:dyDescent="0.2">
      <c r="A12" s="175" t="s">
        <v>165</v>
      </c>
      <c r="B12" s="10" t="s">
        <v>73</v>
      </c>
      <c r="C12" s="216">
        <v>6</v>
      </c>
      <c r="D12" s="20">
        <v>2</v>
      </c>
      <c r="E12" s="16" t="s">
        <v>23</v>
      </c>
      <c r="F12" s="25">
        <v>1</v>
      </c>
      <c r="G12" s="98"/>
      <c r="H12" s="11">
        <f t="shared" si="0"/>
        <v>0</v>
      </c>
      <c r="I12" s="145">
        <f>(H12*D12+H13*D13+H14*D14)/C12</f>
        <v>0</v>
      </c>
      <c r="K12" s="3"/>
    </row>
    <row r="13" spans="1:11" s="7" customFormat="1" ht="30.6" customHeight="1" x14ac:dyDescent="0.2">
      <c r="A13" s="175"/>
      <c r="B13" s="10" t="s">
        <v>167</v>
      </c>
      <c r="C13" s="216"/>
      <c r="D13" s="20">
        <v>2</v>
      </c>
      <c r="E13" s="16" t="s">
        <v>23</v>
      </c>
      <c r="F13" s="25">
        <v>1</v>
      </c>
      <c r="G13" s="98"/>
      <c r="H13" s="11">
        <f t="shared" si="0"/>
        <v>0</v>
      </c>
      <c r="I13" s="145"/>
      <c r="K13" s="3"/>
    </row>
    <row r="14" spans="1:11" s="7" customFormat="1" ht="30.6" customHeight="1" x14ac:dyDescent="0.2">
      <c r="A14" s="176"/>
      <c r="B14" s="10" t="s">
        <v>74</v>
      </c>
      <c r="C14" s="217"/>
      <c r="D14" s="21">
        <v>2</v>
      </c>
      <c r="E14" s="17" t="s">
        <v>23</v>
      </c>
      <c r="F14" s="26">
        <v>1</v>
      </c>
      <c r="G14" s="95"/>
      <c r="H14" s="11">
        <f t="shared" si="0"/>
        <v>0</v>
      </c>
      <c r="I14" s="145"/>
      <c r="K14" s="3"/>
    </row>
    <row r="15" spans="1:11" s="7" customFormat="1" ht="30.6" customHeight="1" x14ac:dyDescent="0.2">
      <c r="A15" s="188" t="s">
        <v>168</v>
      </c>
      <c r="B15" s="84" t="s">
        <v>169</v>
      </c>
      <c r="C15" s="142">
        <v>4</v>
      </c>
      <c r="D15" s="14">
        <v>2</v>
      </c>
      <c r="E15" s="15" t="s">
        <v>23</v>
      </c>
      <c r="F15" s="24">
        <v>1</v>
      </c>
      <c r="G15" s="94"/>
      <c r="H15" s="23">
        <f t="shared" si="0"/>
        <v>0</v>
      </c>
      <c r="I15" s="134">
        <f>(H15*D15+H16*D16+H17*D17)/C15</f>
        <v>0</v>
      </c>
      <c r="K15" s="3"/>
    </row>
    <row r="16" spans="1:11" s="7" customFormat="1" ht="30.6" customHeight="1" x14ac:dyDescent="0.2">
      <c r="A16" s="214"/>
      <c r="B16" s="101" t="s">
        <v>170</v>
      </c>
      <c r="C16" s="122"/>
      <c r="D16" s="3">
        <v>1</v>
      </c>
      <c r="E16" s="16" t="s">
        <v>23</v>
      </c>
      <c r="F16" s="25">
        <v>1</v>
      </c>
      <c r="G16" s="98"/>
      <c r="H16" s="11">
        <f t="shared" si="0"/>
        <v>0</v>
      </c>
      <c r="I16" s="145"/>
      <c r="K16" s="3"/>
    </row>
    <row r="17" spans="1:11" s="7" customFormat="1" ht="30.6" customHeight="1" x14ac:dyDescent="0.2">
      <c r="A17" s="189"/>
      <c r="B17" s="85" t="s">
        <v>171</v>
      </c>
      <c r="C17" s="123"/>
      <c r="D17" s="22">
        <v>1</v>
      </c>
      <c r="E17" s="17" t="s">
        <v>23</v>
      </c>
      <c r="F17" s="26">
        <v>1</v>
      </c>
      <c r="G17" s="95"/>
      <c r="H17" s="12">
        <f t="shared" si="0"/>
        <v>0</v>
      </c>
      <c r="I17" s="135"/>
      <c r="K17" s="3"/>
    </row>
    <row r="18" spans="1:11" s="7" customFormat="1" ht="30.6" customHeight="1" x14ac:dyDescent="0.2">
      <c r="A18" s="171" t="s">
        <v>35</v>
      </c>
      <c r="B18" s="29" t="s">
        <v>36</v>
      </c>
      <c r="C18" s="173">
        <v>3</v>
      </c>
      <c r="D18" s="14">
        <v>2</v>
      </c>
      <c r="E18" s="15" t="s">
        <v>23</v>
      </c>
      <c r="F18" s="24">
        <v>1</v>
      </c>
      <c r="G18" s="94"/>
      <c r="H18" s="23">
        <f t="shared" si="0"/>
        <v>0</v>
      </c>
      <c r="I18" s="134">
        <f>(H18*D18+H19*D19)/C18</f>
        <v>0</v>
      </c>
      <c r="K18" s="3"/>
    </row>
    <row r="19" spans="1:11" s="7" customFormat="1" ht="30.6" customHeight="1" x14ac:dyDescent="0.2">
      <c r="A19" s="172"/>
      <c r="B19" s="30" t="s">
        <v>37</v>
      </c>
      <c r="C19" s="174"/>
      <c r="D19" s="22">
        <v>1</v>
      </c>
      <c r="E19" s="17" t="s">
        <v>23</v>
      </c>
      <c r="F19" s="26">
        <v>1</v>
      </c>
      <c r="G19" s="95"/>
      <c r="H19" s="12">
        <f t="shared" si="0"/>
        <v>0</v>
      </c>
      <c r="I19" s="135"/>
      <c r="K19" s="3"/>
    </row>
    <row r="20" spans="1:11" s="7" customFormat="1" ht="30.6" customHeight="1" x14ac:dyDescent="0.2">
      <c r="A20" s="182" t="s">
        <v>38</v>
      </c>
      <c r="B20" s="31" t="s">
        <v>173</v>
      </c>
      <c r="C20" s="142">
        <v>4</v>
      </c>
      <c r="D20" s="14">
        <v>0.5</v>
      </c>
      <c r="E20" s="15" t="s">
        <v>23</v>
      </c>
      <c r="F20" s="24">
        <v>1</v>
      </c>
      <c r="G20" s="94"/>
      <c r="H20" s="23">
        <f t="shared" si="0"/>
        <v>0</v>
      </c>
      <c r="I20" s="134">
        <f>(H20*D20+H21*D21+H22*D22+H23*D23+H24*D24)/C20</f>
        <v>0</v>
      </c>
      <c r="K20" s="3"/>
    </row>
    <row r="21" spans="1:11" s="7" customFormat="1" ht="30.6" customHeight="1" x14ac:dyDescent="0.2">
      <c r="A21" s="183"/>
      <c r="B21" s="32" t="s">
        <v>75</v>
      </c>
      <c r="C21" s="122"/>
      <c r="D21" s="3">
        <v>1</v>
      </c>
      <c r="E21" s="16" t="s">
        <v>23</v>
      </c>
      <c r="F21" s="25">
        <v>1</v>
      </c>
      <c r="G21" s="98"/>
      <c r="H21" s="11">
        <f t="shared" si="0"/>
        <v>0</v>
      </c>
      <c r="I21" s="145"/>
      <c r="K21" s="3"/>
    </row>
    <row r="22" spans="1:11" s="7" customFormat="1" ht="30.6" customHeight="1" x14ac:dyDescent="0.2">
      <c r="A22" s="183"/>
      <c r="B22" s="32" t="s">
        <v>76</v>
      </c>
      <c r="C22" s="122"/>
      <c r="D22" s="3">
        <v>1</v>
      </c>
      <c r="E22" s="16" t="s">
        <v>23</v>
      </c>
      <c r="F22" s="25">
        <v>1</v>
      </c>
      <c r="G22" s="98"/>
      <c r="H22" s="11">
        <f t="shared" si="0"/>
        <v>0</v>
      </c>
      <c r="I22" s="145"/>
      <c r="K22" s="3"/>
    </row>
    <row r="23" spans="1:11" s="7" customFormat="1" ht="30.6" customHeight="1" x14ac:dyDescent="0.2">
      <c r="A23" s="183"/>
      <c r="B23" s="32" t="s">
        <v>77</v>
      </c>
      <c r="C23" s="122"/>
      <c r="D23" s="3">
        <v>1</v>
      </c>
      <c r="E23" s="16" t="s">
        <v>23</v>
      </c>
      <c r="F23" s="25">
        <v>1</v>
      </c>
      <c r="G23" s="98"/>
      <c r="H23" s="11">
        <f t="shared" si="0"/>
        <v>0</v>
      </c>
      <c r="I23" s="145"/>
      <c r="K23" s="3"/>
    </row>
    <row r="24" spans="1:11" s="7" customFormat="1" ht="30.6" customHeight="1" x14ac:dyDescent="0.2">
      <c r="A24" s="184"/>
      <c r="B24" s="46" t="s">
        <v>41</v>
      </c>
      <c r="C24" s="123"/>
      <c r="D24" s="22">
        <v>0.5</v>
      </c>
      <c r="E24" s="17" t="s">
        <v>23</v>
      </c>
      <c r="F24" s="26">
        <v>1</v>
      </c>
      <c r="G24" s="95"/>
      <c r="H24" s="12">
        <f t="shared" si="0"/>
        <v>0</v>
      </c>
      <c r="I24" s="135"/>
      <c r="K24" s="3"/>
    </row>
    <row r="25" spans="1:11" s="7" customFormat="1" ht="30.6" customHeight="1" x14ac:dyDescent="0.2">
      <c r="A25" s="57" t="s">
        <v>42</v>
      </c>
      <c r="B25" s="58" t="s">
        <v>172</v>
      </c>
      <c r="C25" s="52">
        <v>1</v>
      </c>
      <c r="D25" s="59">
        <v>1</v>
      </c>
      <c r="E25" s="17" t="s">
        <v>23</v>
      </c>
      <c r="F25" s="55">
        <v>1</v>
      </c>
      <c r="G25" s="100"/>
      <c r="H25" s="60">
        <f t="shared" si="0"/>
        <v>0</v>
      </c>
      <c r="I25" s="61">
        <f>(H25*D25)/C25</f>
        <v>0</v>
      </c>
      <c r="K25" s="3"/>
    </row>
    <row r="26" spans="1:11" s="7" customFormat="1" ht="30.6" customHeight="1" x14ac:dyDescent="0.2">
      <c r="A26" s="185" t="s">
        <v>44</v>
      </c>
      <c r="B26" s="186"/>
      <c r="C26" s="185">
        <f>SUM(C2:C25)</f>
        <v>30</v>
      </c>
      <c r="D26" s="187"/>
      <c r="E26" s="150">
        <f>(I2*C2+I6*C6+I10*C10+I12*C12+I15*C15+I18*C18+I20*C20+I25*C25)/C26</f>
        <v>0</v>
      </c>
      <c r="F26" s="151"/>
      <c r="G26" s="151"/>
      <c r="H26" s="158" t="str">
        <f>IF(OR(I2&lt;10,I6&lt;10,I10&lt;10,I12&lt;10,I15&lt;10,I18&lt;10,I20&lt;10,I25&lt;10),"Valide pas","Valide")</f>
        <v>Valide pas</v>
      </c>
      <c r="I26" s="159"/>
      <c r="K26" s="3"/>
    </row>
    <row r="27" spans="1:11" s="7" customFormat="1" ht="30.6" customHeight="1" x14ac:dyDescent="0.2">
      <c r="A27" s="3"/>
      <c r="B27" s="3"/>
      <c r="C27" s="3"/>
      <c r="D27" s="3"/>
      <c r="E27" s="3"/>
      <c r="F27" s="27"/>
      <c r="G27" s="3"/>
      <c r="H27" s="62"/>
      <c r="I27" s="62"/>
      <c r="K27" s="3"/>
    </row>
  </sheetData>
  <mergeCells count="28">
    <mergeCell ref="C1:D1"/>
    <mergeCell ref="E1:G1"/>
    <mergeCell ref="H1:I1"/>
    <mergeCell ref="A2:A5"/>
    <mergeCell ref="C2:C5"/>
    <mergeCell ref="I2:I5"/>
    <mergeCell ref="A12:A14"/>
    <mergeCell ref="C12:C14"/>
    <mergeCell ref="I12:I14"/>
    <mergeCell ref="I6:I9"/>
    <mergeCell ref="A10:A11"/>
    <mergeCell ref="C10:C11"/>
    <mergeCell ref="I10:I11"/>
    <mergeCell ref="A6:A9"/>
    <mergeCell ref="C6:C9"/>
    <mergeCell ref="I15:I17"/>
    <mergeCell ref="A26:B26"/>
    <mergeCell ref="C26:D26"/>
    <mergeCell ref="E26:G26"/>
    <mergeCell ref="H26:I26"/>
    <mergeCell ref="A15:A17"/>
    <mergeCell ref="C15:C17"/>
    <mergeCell ref="A18:A19"/>
    <mergeCell ref="C18:C19"/>
    <mergeCell ref="I18:I19"/>
    <mergeCell ref="A20:A24"/>
    <mergeCell ref="C20:C24"/>
    <mergeCell ref="I20:I24"/>
  </mergeCells>
  <conditionalFormatting sqref="H26">
    <cfRule type="cellIs" dxfId="15" priority="1" operator="equal">
      <formula>"Valide pas"</formula>
    </cfRule>
    <cfRule type="cellIs" dxfId="14" priority="2" operator="equal">
      <formula>"Valide"</formula>
    </cfRule>
  </conditionalFormatting>
  <conditionalFormatting sqref="I2:I25 E26">
    <cfRule type="cellIs" dxfId="13" priority="3" operator="lessThan">
      <formula>10</formula>
    </cfRule>
    <cfRule type="cellIs" dxfId="12" priority="4" operator="greaterThanOrEqual">
      <formula>10</formula>
    </cfRule>
  </conditionalFormatting>
  <pageMargins left="0" right="0" top="0.39370078740157483" bottom="0.39370078740157483" header="0" footer="0"/>
  <headerFooter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29257-38D5-4483-993B-283B71990C77}">
  <dimension ref="A1:K41"/>
  <sheetViews>
    <sheetView workbookViewId="0"/>
  </sheetViews>
  <sheetFormatPr baseColWidth="10" defaultColWidth="12.140625" defaultRowHeight="30.6" customHeight="1" x14ac:dyDescent="0.2"/>
  <cols>
    <col min="1" max="2" width="35.140625" style="3" customWidth="1"/>
    <col min="3" max="4" width="12.140625" style="3" customWidth="1"/>
    <col min="5" max="5" width="23.42578125" style="3" customWidth="1"/>
    <col min="6" max="6" width="12.140625" style="27" customWidth="1"/>
    <col min="7" max="7" width="12.140625" style="3" customWidth="1"/>
    <col min="8" max="10" width="12.140625" style="7" customWidth="1"/>
    <col min="11" max="11" width="12.140625" style="3" customWidth="1"/>
    <col min="12" max="16384" width="12.140625" style="3"/>
  </cols>
  <sheetData>
    <row r="1" spans="1:11" s="1" customFormat="1" ht="30.6" customHeight="1" x14ac:dyDescent="0.2">
      <c r="A1" s="82" t="s">
        <v>20</v>
      </c>
      <c r="B1" s="83" t="s">
        <v>21</v>
      </c>
      <c r="C1" s="195" t="s">
        <v>22</v>
      </c>
      <c r="D1" s="196"/>
      <c r="E1" s="150" t="s">
        <v>90</v>
      </c>
      <c r="F1" s="151"/>
      <c r="G1" s="152"/>
      <c r="H1" s="150" t="s">
        <v>88</v>
      </c>
      <c r="I1" s="152"/>
    </row>
    <row r="2" spans="1:11" s="1" customFormat="1" ht="30.6" customHeight="1" x14ac:dyDescent="0.2">
      <c r="A2" s="86" t="s">
        <v>54</v>
      </c>
      <c r="B2" s="87" t="s">
        <v>54</v>
      </c>
      <c r="C2" s="15">
        <v>30</v>
      </c>
      <c r="D2" s="19">
        <v>30</v>
      </c>
      <c r="E2" s="23" t="s">
        <v>54</v>
      </c>
      <c r="F2" s="24">
        <v>1</v>
      </c>
      <c r="G2" s="88"/>
      <c r="H2" s="23">
        <f>F2*G2</f>
        <v>0</v>
      </c>
      <c r="I2" s="80">
        <f>(H2*D2)/C2</f>
        <v>0</v>
      </c>
    </row>
    <row r="3" spans="1:11" ht="30.6" customHeight="1" x14ac:dyDescent="0.2">
      <c r="A3" s="158" t="s">
        <v>44</v>
      </c>
      <c r="B3" s="159"/>
      <c r="C3" s="158">
        <f>SUM(C2:C2)</f>
        <v>30</v>
      </c>
      <c r="D3" s="159"/>
      <c r="E3" s="150">
        <f>(I2*C2)/C3</f>
        <v>0</v>
      </c>
      <c r="F3" s="151"/>
      <c r="G3" s="152"/>
      <c r="H3" s="158" t="str">
        <f>IF(OR(I2&lt;10),"Valide pas","Valide")</f>
        <v>Valide pas</v>
      </c>
      <c r="I3" s="159"/>
      <c r="J3" s="3"/>
    </row>
    <row r="4" spans="1:11" ht="30.6" customHeight="1" x14ac:dyDescent="0.2">
      <c r="H4" s="62"/>
      <c r="I4" s="62"/>
    </row>
    <row r="10" spans="1:11" s="7" customFormat="1" ht="30.6" customHeight="1" x14ac:dyDescent="0.2">
      <c r="A10" s="3"/>
      <c r="B10" s="3"/>
      <c r="C10" s="3"/>
      <c r="D10" s="3"/>
      <c r="E10" s="3"/>
      <c r="F10" s="27"/>
      <c r="G10" s="3"/>
      <c r="K10" s="3"/>
    </row>
    <row r="11" spans="1:11" s="7" customFormat="1" ht="30.6" customHeight="1" x14ac:dyDescent="0.2">
      <c r="A11" s="3"/>
      <c r="B11" s="3"/>
      <c r="C11" s="3"/>
      <c r="D11" s="3"/>
      <c r="E11" s="3"/>
      <c r="F11" s="27"/>
      <c r="G11" s="3"/>
      <c r="K11" s="3"/>
    </row>
    <row r="12" spans="1:11" s="7" customFormat="1" ht="30.6" customHeight="1" x14ac:dyDescent="0.2">
      <c r="A12" s="3"/>
      <c r="B12" s="3"/>
      <c r="C12" s="3"/>
      <c r="D12" s="3"/>
      <c r="E12" s="3"/>
      <c r="F12" s="27"/>
      <c r="G12" s="3"/>
      <c r="K12" s="3"/>
    </row>
    <row r="13" spans="1:11" s="7" customFormat="1" ht="30.6" customHeight="1" x14ac:dyDescent="0.2">
      <c r="A13" s="3"/>
      <c r="B13" s="3"/>
      <c r="C13" s="3"/>
      <c r="D13" s="3"/>
      <c r="E13" s="3"/>
      <c r="F13" s="27"/>
      <c r="G13" s="3"/>
      <c r="K13" s="3"/>
    </row>
    <row r="14" spans="1:11" s="7" customFormat="1" ht="30.6" customHeight="1" x14ac:dyDescent="0.2">
      <c r="A14" s="3"/>
      <c r="B14" s="3"/>
      <c r="C14" s="3"/>
      <c r="D14" s="3"/>
      <c r="E14" s="3"/>
      <c r="F14" s="27"/>
      <c r="G14" s="3"/>
      <c r="K14" s="3"/>
    </row>
    <row r="15" spans="1:11" s="7" customFormat="1" ht="30.6" customHeight="1" x14ac:dyDescent="0.2">
      <c r="A15" s="3"/>
      <c r="B15" s="3"/>
      <c r="C15" s="3"/>
      <c r="D15" s="3"/>
      <c r="E15" s="3"/>
      <c r="F15" s="27"/>
      <c r="G15" s="3"/>
      <c r="K15" s="3"/>
    </row>
    <row r="16" spans="1:11" s="7" customFormat="1" ht="30.6" customHeight="1" x14ac:dyDescent="0.2">
      <c r="A16" s="3"/>
      <c r="B16" s="3"/>
      <c r="C16" s="3"/>
      <c r="D16" s="3"/>
      <c r="E16" s="3"/>
      <c r="F16" s="27"/>
      <c r="G16" s="3"/>
      <c r="K16" s="3"/>
    </row>
    <row r="17" spans="1:11" s="7" customFormat="1" ht="30.6" customHeight="1" x14ac:dyDescent="0.2">
      <c r="A17" s="3"/>
      <c r="B17" s="3"/>
      <c r="C17" s="3"/>
      <c r="D17" s="3"/>
      <c r="E17" s="3"/>
      <c r="F17" s="27"/>
      <c r="G17" s="3"/>
      <c r="K17" s="3"/>
    </row>
    <row r="18" spans="1:11" s="7" customFormat="1" ht="30.6" customHeight="1" x14ac:dyDescent="0.2">
      <c r="A18" s="3"/>
      <c r="B18" s="3"/>
      <c r="C18" s="3"/>
      <c r="D18" s="3"/>
      <c r="E18" s="3"/>
      <c r="F18" s="27"/>
      <c r="G18" s="3"/>
      <c r="K18" s="3"/>
    </row>
    <row r="19" spans="1:11" s="7" customFormat="1" ht="30.6" customHeight="1" x14ac:dyDescent="0.2">
      <c r="A19" s="3"/>
      <c r="B19" s="3"/>
      <c r="C19" s="3"/>
      <c r="D19" s="3"/>
      <c r="E19" s="3"/>
      <c r="F19" s="27"/>
      <c r="G19" s="3"/>
      <c r="K19" s="3"/>
    </row>
    <row r="20" spans="1:11" s="7" customFormat="1" ht="30.6" customHeight="1" x14ac:dyDescent="0.2">
      <c r="A20" s="3"/>
      <c r="B20" s="3"/>
      <c r="C20" s="3"/>
      <c r="D20" s="3"/>
      <c r="E20" s="3"/>
      <c r="F20" s="27"/>
      <c r="G20" s="3"/>
      <c r="K20" s="3"/>
    </row>
    <row r="21" spans="1:11" s="7" customFormat="1" ht="30.6" customHeight="1" x14ac:dyDescent="0.2">
      <c r="A21" s="3"/>
      <c r="B21" s="3"/>
      <c r="C21" s="3"/>
      <c r="D21" s="3"/>
      <c r="E21" s="3"/>
      <c r="F21" s="27"/>
      <c r="G21" s="3"/>
      <c r="K21" s="3"/>
    </row>
    <row r="22" spans="1:11" s="7" customFormat="1" ht="30.6" customHeight="1" x14ac:dyDescent="0.2">
      <c r="A22" s="3"/>
      <c r="B22" s="3"/>
      <c r="C22" s="3"/>
      <c r="D22" s="3"/>
      <c r="E22" s="3"/>
      <c r="F22" s="27"/>
      <c r="G22" s="3"/>
      <c r="K22" s="3"/>
    </row>
    <row r="23" spans="1:11" s="7" customFormat="1" ht="30.6" customHeight="1" x14ac:dyDescent="0.2">
      <c r="A23" s="3"/>
      <c r="B23" s="3"/>
      <c r="C23" s="3"/>
      <c r="D23" s="3"/>
      <c r="E23" s="3"/>
      <c r="F23" s="27"/>
      <c r="G23" s="3"/>
      <c r="K23" s="3"/>
    </row>
    <row r="24" spans="1:11" s="7" customFormat="1" ht="30.6" customHeight="1" x14ac:dyDescent="0.2">
      <c r="A24" s="3"/>
      <c r="B24" s="3"/>
      <c r="C24" s="3"/>
      <c r="D24" s="3"/>
      <c r="E24" s="3"/>
      <c r="F24" s="27"/>
      <c r="G24" s="3"/>
      <c r="K24" s="3"/>
    </row>
    <row r="25" spans="1:11" s="7" customFormat="1" ht="30.6" customHeight="1" x14ac:dyDescent="0.2">
      <c r="A25" s="3"/>
      <c r="B25" s="3"/>
      <c r="C25" s="3"/>
      <c r="D25" s="3"/>
      <c r="E25" s="3"/>
      <c r="F25" s="27"/>
      <c r="G25" s="3"/>
      <c r="K25" s="3"/>
    </row>
    <row r="26" spans="1:11" s="7" customFormat="1" ht="30.6" customHeight="1" x14ac:dyDescent="0.2">
      <c r="A26" s="3"/>
      <c r="B26" s="3"/>
      <c r="C26" s="3"/>
      <c r="D26" s="3"/>
      <c r="E26" s="3"/>
      <c r="F26" s="27"/>
      <c r="G26" s="3"/>
      <c r="K26" s="3"/>
    </row>
    <row r="27" spans="1:11" s="7" customFormat="1" ht="30.6" customHeight="1" x14ac:dyDescent="0.2">
      <c r="A27" s="3"/>
      <c r="B27" s="3"/>
      <c r="C27" s="3"/>
      <c r="D27" s="3"/>
      <c r="E27" s="3"/>
      <c r="F27" s="27"/>
      <c r="G27" s="3"/>
      <c r="K27" s="3"/>
    </row>
    <row r="28" spans="1:11" s="7" customFormat="1" ht="30.6" customHeight="1" x14ac:dyDescent="0.2">
      <c r="A28" s="3"/>
      <c r="B28" s="3"/>
      <c r="C28" s="3"/>
      <c r="D28" s="3"/>
      <c r="E28" s="3"/>
      <c r="F28" s="27"/>
      <c r="G28" s="3"/>
      <c r="K28" s="3"/>
    </row>
    <row r="29" spans="1:11" s="7" customFormat="1" ht="30.6" customHeight="1" x14ac:dyDescent="0.2">
      <c r="A29" s="3"/>
      <c r="B29" s="3"/>
      <c r="C29" s="3"/>
      <c r="D29" s="3"/>
      <c r="E29" s="3"/>
      <c r="F29" s="27"/>
      <c r="G29" s="3"/>
      <c r="K29" s="3"/>
    </row>
    <row r="30" spans="1:11" s="7" customFormat="1" ht="30.6" customHeight="1" x14ac:dyDescent="0.2">
      <c r="A30" s="3"/>
      <c r="B30" s="3"/>
      <c r="C30" s="3"/>
      <c r="D30" s="3"/>
      <c r="E30" s="3"/>
      <c r="F30" s="27"/>
      <c r="G30" s="3"/>
      <c r="K30" s="3"/>
    </row>
    <row r="31" spans="1:11" s="7" customFormat="1" ht="30.6" customHeight="1" x14ac:dyDescent="0.2">
      <c r="A31" s="3"/>
      <c r="B31" s="3"/>
      <c r="C31" s="3"/>
      <c r="D31" s="3"/>
      <c r="E31" s="3"/>
      <c r="F31" s="27"/>
      <c r="G31" s="3"/>
      <c r="K31" s="3"/>
    </row>
    <row r="32" spans="1:11" s="7" customFormat="1" ht="30.6" customHeight="1" x14ac:dyDescent="0.2">
      <c r="A32" s="3"/>
      <c r="B32" s="3"/>
      <c r="C32" s="3"/>
      <c r="D32" s="3"/>
      <c r="E32" s="3"/>
      <c r="F32" s="27"/>
      <c r="G32" s="3"/>
      <c r="K32" s="3"/>
    </row>
    <row r="33" spans="1:11" s="7" customFormat="1" ht="30.6" customHeight="1" x14ac:dyDescent="0.2">
      <c r="A33" s="3"/>
      <c r="B33" s="3"/>
      <c r="C33" s="3"/>
      <c r="D33" s="3"/>
      <c r="E33" s="3"/>
      <c r="F33" s="27"/>
      <c r="G33" s="3"/>
      <c r="K33" s="3"/>
    </row>
    <row r="34" spans="1:11" s="7" customFormat="1" ht="30.6" customHeight="1" x14ac:dyDescent="0.2">
      <c r="A34" s="3"/>
      <c r="B34" s="3"/>
      <c r="C34" s="3"/>
      <c r="D34" s="3"/>
      <c r="E34" s="3"/>
      <c r="F34" s="27"/>
      <c r="G34" s="3"/>
      <c r="K34" s="3"/>
    </row>
    <row r="35" spans="1:11" s="7" customFormat="1" ht="30.6" customHeight="1" x14ac:dyDescent="0.2">
      <c r="A35" s="3"/>
      <c r="B35" s="3"/>
      <c r="C35" s="3"/>
      <c r="D35" s="3"/>
      <c r="E35" s="3"/>
      <c r="F35" s="27"/>
      <c r="G35" s="3"/>
      <c r="K35" s="3"/>
    </row>
    <row r="36" spans="1:11" s="7" customFormat="1" ht="30.6" customHeight="1" x14ac:dyDescent="0.2">
      <c r="A36" s="3"/>
      <c r="B36" s="3"/>
      <c r="C36" s="3"/>
      <c r="D36" s="3"/>
      <c r="E36" s="3"/>
      <c r="F36" s="27"/>
      <c r="G36" s="3"/>
      <c r="K36" s="3"/>
    </row>
    <row r="37" spans="1:11" s="7" customFormat="1" ht="30.6" customHeight="1" x14ac:dyDescent="0.2">
      <c r="A37" s="3"/>
      <c r="B37" s="3"/>
      <c r="C37" s="3"/>
      <c r="D37" s="3"/>
      <c r="E37" s="3"/>
      <c r="F37" s="27"/>
      <c r="G37" s="3"/>
      <c r="K37" s="3"/>
    </row>
    <row r="38" spans="1:11" s="7" customFormat="1" ht="30.6" customHeight="1" x14ac:dyDescent="0.2">
      <c r="A38" s="3"/>
      <c r="B38" s="3"/>
      <c r="C38" s="3"/>
      <c r="D38" s="3"/>
      <c r="E38" s="3"/>
      <c r="F38" s="27"/>
      <c r="G38" s="3"/>
      <c r="K38" s="3"/>
    </row>
    <row r="39" spans="1:11" s="7" customFormat="1" ht="30.6" customHeight="1" x14ac:dyDescent="0.2">
      <c r="A39" s="3"/>
      <c r="B39" s="3"/>
      <c r="C39" s="3"/>
      <c r="D39" s="3"/>
      <c r="E39" s="3"/>
      <c r="F39" s="27"/>
      <c r="G39" s="3"/>
      <c r="K39" s="3"/>
    </row>
    <row r="40" spans="1:11" s="7" customFormat="1" ht="30.6" customHeight="1" x14ac:dyDescent="0.2">
      <c r="A40" s="3"/>
      <c r="B40" s="3"/>
      <c r="C40" s="3"/>
      <c r="D40" s="3"/>
      <c r="E40" s="3"/>
      <c r="F40" s="27"/>
      <c r="G40" s="3"/>
      <c r="K40" s="3"/>
    </row>
    <row r="41" spans="1:11" s="7" customFormat="1" ht="30.6" customHeight="1" x14ac:dyDescent="0.2">
      <c r="A41" s="3"/>
      <c r="B41" s="3"/>
      <c r="C41" s="3"/>
      <c r="D41" s="3"/>
      <c r="E41" s="3"/>
      <c r="F41" s="27"/>
      <c r="G41" s="3"/>
      <c r="K41" s="3"/>
    </row>
  </sheetData>
  <mergeCells count="7">
    <mergeCell ref="A3:B3"/>
    <mergeCell ref="C3:D3"/>
    <mergeCell ref="E3:G3"/>
    <mergeCell ref="H3:I3"/>
    <mergeCell ref="C1:D1"/>
    <mergeCell ref="E1:G1"/>
    <mergeCell ref="H1:I1"/>
  </mergeCells>
  <conditionalFormatting sqref="H3">
    <cfRule type="cellIs" dxfId="11" priority="1" operator="equal">
      <formula>"Valide pas"</formula>
    </cfRule>
    <cfRule type="cellIs" dxfId="10" priority="2" operator="equal">
      <formula>"Valide"</formula>
    </cfRule>
  </conditionalFormatting>
  <conditionalFormatting sqref="I2 E3">
    <cfRule type="cellIs" dxfId="9" priority="3" operator="lessThan">
      <formula>10</formula>
    </cfRule>
    <cfRule type="cellIs" dxfId="8" priority="4" operator="greaterThanOrEqual">
      <formula>10</formula>
    </cfRule>
  </conditionalFormatting>
  <pageMargins left="0" right="0" top="0.39370078740157483" bottom="0.39370078740157483" header="0" footer="0"/>
  <headerFooter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23063-5E70-400A-8D2A-610F1F046F27}">
  <dimension ref="A1:K18"/>
  <sheetViews>
    <sheetView workbookViewId="0"/>
  </sheetViews>
  <sheetFormatPr baseColWidth="10" defaultColWidth="12.140625" defaultRowHeight="30.6" customHeight="1" x14ac:dyDescent="0.2"/>
  <cols>
    <col min="1" max="2" width="35.140625" style="3" customWidth="1"/>
    <col min="3" max="4" width="12.140625" style="3" customWidth="1"/>
    <col min="5" max="5" width="23.42578125" style="3" customWidth="1"/>
    <col min="6" max="6" width="12.140625" style="27" customWidth="1"/>
    <col min="7" max="7" width="12.140625" style="3" customWidth="1"/>
    <col min="8" max="10" width="12.140625" style="7" customWidth="1"/>
    <col min="11" max="11" width="12.140625" style="3" customWidth="1"/>
    <col min="12" max="16384" width="12.140625" style="3"/>
  </cols>
  <sheetData>
    <row r="1" spans="1:11" s="1" customFormat="1" ht="30.6" customHeight="1" x14ac:dyDescent="0.2">
      <c r="A1" s="47" t="s">
        <v>20</v>
      </c>
      <c r="B1" s="48" t="s">
        <v>21</v>
      </c>
      <c r="C1" s="222" t="s">
        <v>22</v>
      </c>
      <c r="D1" s="223"/>
      <c r="E1" s="150" t="s">
        <v>90</v>
      </c>
      <c r="F1" s="151"/>
      <c r="G1" s="152"/>
      <c r="H1" s="224" t="s">
        <v>88</v>
      </c>
      <c r="I1" s="194"/>
    </row>
    <row r="2" spans="1:11" ht="30.6" customHeight="1" x14ac:dyDescent="0.2">
      <c r="A2" s="110" t="s">
        <v>140</v>
      </c>
      <c r="B2" s="212" t="s">
        <v>25</v>
      </c>
      <c r="C2" s="115">
        <v>8</v>
      </c>
      <c r="D2" s="125">
        <v>4</v>
      </c>
      <c r="E2" s="23" t="s">
        <v>123</v>
      </c>
      <c r="F2" s="24">
        <v>0.2</v>
      </c>
      <c r="G2" s="97"/>
      <c r="H2" s="136">
        <f>G2*F2+G3*F3+G4*F4+G5*F5+G6*F6</f>
        <v>0</v>
      </c>
      <c r="I2" s="134">
        <f>(H2*D2+H7*D7+H8*D8)/C2</f>
        <v>0</v>
      </c>
      <c r="J2" s="3"/>
    </row>
    <row r="3" spans="1:11" ht="30.6" customHeight="1" x14ac:dyDescent="0.2">
      <c r="A3" s="111"/>
      <c r="B3" s="118"/>
      <c r="C3" s="116"/>
      <c r="D3" s="126"/>
      <c r="E3" s="11" t="s">
        <v>124</v>
      </c>
      <c r="F3" s="25">
        <v>0.2</v>
      </c>
      <c r="G3" s="93"/>
      <c r="H3" s="128"/>
      <c r="I3" s="145"/>
      <c r="J3" s="3"/>
    </row>
    <row r="4" spans="1:11" ht="30.6" customHeight="1" x14ac:dyDescent="0.2">
      <c r="A4" s="111"/>
      <c r="B4" s="118"/>
      <c r="C4" s="116"/>
      <c r="D4" s="126"/>
      <c r="E4" s="11" t="s">
        <v>104</v>
      </c>
      <c r="F4" s="25">
        <v>0.2</v>
      </c>
      <c r="G4" s="93"/>
      <c r="H4" s="128"/>
      <c r="I4" s="145"/>
      <c r="J4" s="3"/>
    </row>
    <row r="5" spans="1:11" ht="30.6" customHeight="1" x14ac:dyDescent="0.2">
      <c r="A5" s="111"/>
      <c r="B5" s="118"/>
      <c r="C5" s="116"/>
      <c r="D5" s="126"/>
      <c r="E5" s="11" t="s">
        <v>31</v>
      </c>
      <c r="F5" s="25">
        <v>0.2</v>
      </c>
      <c r="G5" s="93"/>
      <c r="H5" s="128"/>
      <c r="I5" s="145"/>
      <c r="J5" s="3"/>
    </row>
    <row r="6" spans="1:11" ht="30.6" customHeight="1" x14ac:dyDescent="0.2">
      <c r="A6" s="111"/>
      <c r="B6" s="118"/>
      <c r="C6" s="116"/>
      <c r="D6" s="126"/>
      <c r="E6" s="11" t="s">
        <v>106</v>
      </c>
      <c r="F6" s="25">
        <v>0.2</v>
      </c>
      <c r="G6" s="93"/>
      <c r="H6" s="128"/>
      <c r="I6" s="145"/>
      <c r="J6" s="3"/>
    </row>
    <row r="7" spans="1:11" ht="30.6" customHeight="1" x14ac:dyDescent="0.2">
      <c r="A7" s="111"/>
      <c r="B7" s="39" t="s">
        <v>26</v>
      </c>
      <c r="C7" s="116"/>
      <c r="D7" s="3">
        <v>2</v>
      </c>
      <c r="E7" s="23" t="s">
        <v>23</v>
      </c>
      <c r="F7" s="24">
        <v>1</v>
      </c>
      <c r="G7" s="94"/>
      <c r="H7" s="11">
        <f t="shared" ref="H7:H16" si="0">G7*F7</f>
        <v>0</v>
      </c>
      <c r="I7" s="145"/>
    </row>
    <row r="8" spans="1:11" ht="30.6" customHeight="1" x14ac:dyDescent="0.2">
      <c r="A8" s="112"/>
      <c r="B8" s="40" t="s">
        <v>27</v>
      </c>
      <c r="C8" s="116"/>
      <c r="D8" s="3">
        <v>2</v>
      </c>
      <c r="E8" s="12" t="s">
        <v>23</v>
      </c>
      <c r="F8" s="26">
        <v>1</v>
      </c>
      <c r="G8" s="95"/>
      <c r="H8" s="11">
        <f t="shared" si="0"/>
        <v>0</v>
      </c>
      <c r="I8" s="145"/>
    </row>
    <row r="9" spans="1:11" ht="30.6" customHeight="1" x14ac:dyDescent="0.2">
      <c r="A9" s="119" t="s">
        <v>142</v>
      </c>
      <c r="B9" s="35" t="s">
        <v>29</v>
      </c>
      <c r="C9" s="142">
        <v>6</v>
      </c>
      <c r="D9" s="19">
        <v>3</v>
      </c>
      <c r="E9" s="23" t="s">
        <v>23</v>
      </c>
      <c r="F9" s="24">
        <v>1</v>
      </c>
      <c r="G9" s="97"/>
      <c r="H9" s="23">
        <f t="shared" si="0"/>
        <v>0</v>
      </c>
      <c r="I9" s="134">
        <f>(H9*D9+H10*D10)/C9</f>
        <v>0</v>
      </c>
    </row>
    <row r="10" spans="1:11" s="7" customFormat="1" ht="30.6" customHeight="1" x14ac:dyDescent="0.2">
      <c r="A10" s="120"/>
      <c r="B10" s="36" t="s">
        <v>141</v>
      </c>
      <c r="C10" s="123"/>
      <c r="D10" s="21">
        <v>3</v>
      </c>
      <c r="E10" s="12" t="s">
        <v>23</v>
      </c>
      <c r="F10" s="26">
        <v>1</v>
      </c>
      <c r="G10" s="96"/>
      <c r="H10" s="12">
        <f t="shared" si="0"/>
        <v>0</v>
      </c>
      <c r="I10" s="135"/>
      <c r="K10" s="3"/>
    </row>
    <row r="11" spans="1:11" s="7" customFormat="1" ht="30.6" customHeight="1" x14ac:dyDescent="0.2">
      <c r="A11" s="160" t="s">
        <v>78</v>
      </c>
      <c r="B11" s="34" t="s">
        <v>143</v>
      </c>
      <c r="C11" s="142">
        <v>4</v>
      </c>
      <c r="D11" s="19">
        <v>2</v>
      </c>
      <c r="E11" s="23" t="s">
        <v>23</v>
      </c>
      <c r="F11" s="24">
        <v>1</v>
      </c>
      <c r="G11" s="97"/>
      <c r="H11" s="23">
        <f t="shared" si="0"/>
        <v>0</v>
      </c>
      <c r="I11" s="134">
        <f>(H11*D11+H12*D12)/C11</f>
        <v>0</v>
      </c>
      <c r="K11" s="3"/>
    </row>
    <row r="12" spans="1:11" s="7" customFormat="1" ht="30.6" customHeight="1" x14ac:dyDescent="0.2">
      <c r="A12" s="161"/>
      <c r="B12" s="33" t="s">
        <v>144</v>
      </c>
      <c r="C12" s="122"/>
      <c r="D12" s="20">
        <v>2</v>
      </c>
      <c r="E12" s="11" t="s">
        <v>23</v>
      </c>
      <c r="F12" s="25">
        <v>1</v>
      </c>
      <c r="G12" s="93"/>
      <c r="H12" s="11">
        <f t="shared" si="0"/>
        <v>0</v>
      </c>
      <c r="I12" s="145"/>
      <c r="K12" s="3"/>
    </row>
    <row r="13" spans="1:11" s="7" customFormat="1" ht="30.6" customHeight="1" x14ac:dyDescent="0.2">
      <c r="A13" s="182" t="s">
        <v>79</v>
      </c>
      <c r="B13" s="31" t="s">
        <v>39</v>
      </c>
      <c r="C13" s="142">
        <v>8</v>
      </c>
      <c r="D13" s="19">
        <v>3</v>
      </c>
      <c r="E13" s="23" t="s">
        <v>23</v>
      </c>
      <c r="F13" s="24">
        <v>1</v>
      </c>
      <c r="G13" s="97"/>
      <c r="H13" s="23">
        <f t="shared" si="0"/>
        <v>0</v>
      </c>
      <c r="I13" s="134">
        <f>(H13*D13+H14*D14+H15*D15)/C13</f>
        <v>0</v>
      </c>
      <c r="K13" s="3"/>
    </row>
    <row r="14" spans="1:11" s="7" customFormat="1" ht="30.6" customHeight="1" x14ac:dyDescent="0.2">
      <c r="A14" s="183"/>
      <c r="B14" s="32" t="s">
        <v>40</v>
      </c>
      <c r="C14" s="122"/>
      <c r="D14" s="20">
        <v>2</v>
      </c>
      <c r="E14" s="11" t="s">
        <v>23</v>
      </c>
      <c r="F14" s="25">
        <v>1</v>
      </c>
      <c r="G14" s="93"/>
      <c r="H14" s="11">
        <f t="shared" si="0"/>
        <v>0</v>
      </c>
      <c r="I14" s="145"/>
      <c r="K14" s="3"/>
    </row>
    <row r="15" spans="1:11" s="7" customFormat="1" ht="30.6" customHeight="1" x14ac:dyDescent="0.2">
      <c r="A15" s="184"/>
      <c r="B15" s="46" t="s">
        <v>36</v>
      </c>
      <c r="C15" s="123"/>
      <c r="D15" s="22">
        <v>3</v>
      </c>
      <c r="E15" s="12" t="s">
        <v>23</v>
      </c>
      <c r="F15" s="26">
        <v>1</v>
      </c>
      <c r="G15" s="96"/>
      <c r="H15" s="12">
        <f t="shared" si="0"/>
        <v>0</v>
      </c>
      <c r="I15" s="135"/>
      <c r="K15" s="3"/>
    </row>
    <row r="16" spans="1:11" s="7" customFormat="1" ht="30.6" customHeight="1" x14ac:dyDescent="0.2">
      <c r="A16" s="49" t="s">
        <v>80</v>
      </c>
      <c r="B16" s="45" t="s">
        <v>80</v>
      </c>
      <c r="C16" s="4">
        <v>4</v>
      </c>
      <c r="D16" s="20">
        <v>4</v>
      </c>
      <c r="E16" s="11" t="s">
        <v>23</v>
      </c>
      <c r="F16" s="25">
        <v>1</v>
      </c>
      <c r="G16" s="93"/>
      <c r="H16" s="11">
        <f t="shared" si="0"/>
        <v>0</v>
      </c>
      <c r="I16" s="74">
        <f>(H16*D16)/C16</f>
        <v>0</v>
      </c>
      <c r="K16" s="3"/>
    </row>
    <row r="17" spans="1:11" s="7" customFormat="1" ht="30.6" customHeight="1" x14ac:dyDescent="0.2">
      <c r="A17" s="218" t="s">
        <v>44</v>
      </c>
      <c r="B17" s="219"/>
      <c r="C17" s="220">
        <f>SUM(C2:C16)</f>
        <v>30</v>
      </c>
      <c r="D17" s="221"/>
      <c r="E17" s="150">
        <f>(I2*C2+I9*C9+I11*C11+I13*C13+I16*C16)/C17</f>
        <v>0</v>
      </c>
      <c r="F17" s="151"/>
      <c r="G17" s="151"/>
      <c r="H17" s="158" t="str">
        <f>IF(OR(I2&lt;10,I9&lt;10,I11&lt;10,I13&lt;10,I16&lt;10),"Valide pas","Valide")</f>
        <v>Valide pas</v>
      </c>
      <c r="I17" s="159"/>
      <c r="K17" s="3"/>
    </row>
    <row r="18" spans="1:11" s="7" customFormat="1" ht="30.6" customHeight="1" x14ac:dyDescent="0.2">
      <c r="A18" s="3"/>
      <c r="B18" s="3"/>
      <c r="C18" s="3"/>
      <c r="D18" s="3"/>
      <c r="E18" s="3"/>
      <c r="F18" s="27"/>
      <c r="G18" s="3"/>
      <c r="H18" s="75"/>
      <c r="I18" s="75"/>
      <c r="K18" s="3"/>
    </row>
  </sheetData>
  <mergeCells count="22">
    <mergeCell ref="C1:D1"/>
    <mergeCell ref="E1:G1"/>
    <mergeCell ref="H1:I1"/>
    <mergeCell ref="A2:A8"/>
    <mergeCell ref="B2:B6"/>
    <mergeCell ref="C2:C8"/>
    <mergeCell ref="D2:D6"/>
    <mergeCell ref="H2:H6"/>
    <mergeCell ref="I2:I8"/>
    <mergeCell ref="I9:I10"/>
    <mergeCell ref="A11:A12"/>
    <mergeCell ref="C11:C12"/>
    <mergeCell ref="I11:I12"/>
    <mergeCell ref="A9:A10"/>
    <mergeCell ref="C9:C10"/>
    <mergeCell ref="A17:B17"/>
    <mergeCell ref="C17:D17"/>
    <mergeCell ref="A13:A15"/>
    <mergeCell ref="C13:C15"/>
    <mergeCell ref="I13:I15"/>
    <mergeCell ref="E17:G17"/>
    <mergeCell ref="H17:I17"/>
  </mergeCells>
  <conditionalFormatting sqref="H17">
    <cfRule type="cellIs" dxfId="7" priority="1" operator="equal">
      <formula>"Valide pas"</formula>
    </cfRule>
    <cfRule type="cellIs" dxfId="6" priority="2" operator="equal">
      <formula>"Valide"</formula>
    </cfRule>
  </conditionalFormatting>
  <conditionalFormatting sqref="I2:I16 E17">
    <cfRule type="cellIs" dxfId="5" priority="7" operator="lessThan">
      <formula>10</formula>
    </cfRule>
    <cfRule type="cellIs" dxfId="4" priority="8" operator="greaterThanOrEqual">
      <formula>10</formula>
    </cfRule>
  </conditionalFormatting>
  <pageMargins left="0" right="0" top="0.39370078740157483" bottom="0.39370078740157483" header="0" footer="0"/>
  <headerFooter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A205A-2724-4F3A-AADF-8FC64E4866A7}">
  <dimension ref="A1:K17"/>
  <sheetViews>
    <sheetView workbookViewId="0"/>
  </sheetViews>
  <sheetFormatPr baseColWidth="10" defaultColWidth="12.140625" defaultRowHeight="30.6" customHeight="1" x14ac:dyDescent="0.2"/>
  <cols>
    <col min="1" max="2" width="35.140625" style="3" customWidth="1"/>
    <col min="3" max="4" width="12.140625" style="3" customWidth="1"/>
    <col min="5" max="5" width="23.42578125" style="3" customWidth="1"/>
    <col min="6" max="6" width="12.140625" style="27" customWidth="1"/>
    <col min="7" max="7" width="12.140625" style="3" customWidth="1"/>
    <col min="8" max="10" width="12.140625" style="7" customWidth="1"/>
    <col min="11" max="11" width="12.140625" style="3" customWidth="1"/>
    <col min="12" max="16384" width="12.140625" style="3"/>
  </cols>
  <sheetData>
    <row r="1" spans="1:11" s="1" customFormat="1" ht="30.6" customHeight="1" x14ac:dyDescent="0.2">
      <c r="A1" s="47" t="s">
        <v>20</v>
      </c>
      <c r="B1" s="63" t="s">
        <v>21</v>
      </c>
      <c r="C1" s="230" t="s">
        <v>22</v>
      </c>
      <c r="D1" s="231"/>
      <c r="E1" s="193" t="s">
        <v>90</v>
      </c>
      <c r="F1" s="224"/>
      <c r="G1" s="194"/>
      <c r="H1" s="224" t="s">
        <v>88</v>
      </c>
      <c r="I1" s="194"/>
    </row>
    <row r="2" spans="1:11" ht="30.6" customHeight="1" x14ac:dyDescent="0.2">
      <c r="A2" s="110" t="s">
        <v>81</v>
      </c>
      <c r="B2" s="38" t="s">
        <v>45</v>
      </c>
      <c r="C2" s="115">
        <v>4</v>
      </c>
      <c r="D2" s="14">
        <v>2</v>
      </c>
      <c r="E2" s="23" t="s">
        <v>23</v>
      </c>
      <c r="F2" s="24">
        <v>1</v>
      </c>
      <c r="G2" s="94"/>
      <c r="H2" s="41">
        <f t="shared" ref="H2:H7" si="0">G2*F2</f>
        <v>0</v>
      </c>
      <c r="I2" s="134">
        <f>(H2*D2+H3*D3)/C2</f>
        <v>0</v>
      </c>
      <c r="J2" s="3"/>
    </row>
    <row r="3" spans="1:11" ht="30.6" customHeight="1" x14ac:dyDescent="0.2">
      <c r="A3" s="112"/>
      <c r="B3" s="40" t="s">
        <v>129</v>
      </c>
      <c r="C3" s="117"/>
      <c r="D3" s="22">
        <v>2</v>
      </c>
      <c r="E3" s="12" t="s">
        <v>23</v>
      </c>
      <c r="F3" s="26">
        <v>1</v>
      </c>
      <c r="G3" s="95"/>
      <c r="H3" s="50">
        <f t="shared" si="0"/>
        <v>0</v>
      </c>
      <c r="I3" s="135"/>
    </row>
    <row r="4" spans="1:11" s="7" customFormat="1" ht="30.6" customHeight="1" x14ac:dyDescent="0.2">
      <c r="A4" s="160" t="s">
        <v>78</v>
      </c>
      <c r="B4" s="64" t="s">
        <v>82</v>
      </c>
      <c r="C4" s="115">
        <v>5</v>
      </c>
      <c r="D4" s="14">
        <v>2</v>
      </c>
      <c r="E4" s="23" t="s">
        <v>23</v>
      </c>
      <c r="F4" s="24">
        <v>1</v>
      </c>
      <c r="G4" s="94"/>
      <c r="H4" s="41">
        <f t="shared" si="0"/>
        <v>0</v>
      </c>
      <c r="I4" s="134">
        <f>(H4*D4+H5*D5+H6*D6+H7*D7)/C4</f>
        <v>0</v>
      </c>
      <c r="K4" s="3"/>
    </row>
    <row r="5" spans="1:11" s="7" customFormat="1" ht="30.6" customHeight="1" x14ac:dyDescent="0.2">
      <c r="A5" s="161"/>
      <c r="B5" s="65" t="s">
        <v>132</v>
      </c>
      <c r="C5" s="116"/>
      <c r="D5" s="3">
        <v>1</v>
      </c>
      <c r="E5" s="11" t="s">
        <v>23</v>
      </c>
      <c r="F5" s="25">
        <v>1</v>
      </c>
      <c r="G5" s="98"/>
      <c r="H5" s="7">
        <f t="shared" si="0"/>
        <v>0</v>
      </c>
      <c r="I5" s="145"/>
      <c r="K5" s="3"/>
    </row>
    <row r="6" spans="1:11" s="7" customFormat="1" ht="30.6" customHeight="1" x14ac:dyDescent="0.2">
      <c r="A6" s="161"/>
      <c r="B6" s="65" t="s">
        <v>135</v>
      </c>
      <c r="C6" s="116"/>
      <c r="D6" s="3">
        <v>1</v>
      </c>
      <c r="E6" s="11" t="s">
        <v>23</v>
      </c>
      <c r="F6" s="25">
        <v>1</v>
      </c>
      <c r="G6" s="98"/>
      <c r="H6" s="7">
        <f t="shared" si="0"/>
        <v>0</v>
      </c>
      <c r="I6" s="145"/>
      <c r="K6" s="3"/>
    </row>
    <row r="7" spans="1:11" s="7" customFormat="1" ht="30.6" customHeight="1" x14ac:dyDescent="0.2">
      <c r="A7" s="162"/>
      <c r="B7" s="66" t="s">
        <v>130</v>
      </c>
      <c r="C7" s="117"/>
      <c r="D7" s="22">
        <v>1</v>
      </c>
      <c r="E7" s="12" t="s">
        <v>23</v>
      </c>
      <c r="F7" s="26">
        <v>1</v>
      </c>
      <c r="G7" s="95"/>
      <c r="H7" s="50">
        <f t="shared" si="0"/>
        <v>0</v>
      </c>
      <c r="I7" s="135"/>
      <c r="K7" s="3"/>
    </row>
    <row r="8" spans="1:11" s="7" customFormat="1" ht="30.6" customHeight="1" x14ac:dyDescent="0.2">
      <c r="A8" s="228" t="s">
        <v>145</v>
      </c>
      <c r="B8" s="67" t="s">
        <v>83</v>
      </c>
      <c r="C8" s="115">
        <v>3</v>
      </c>
      <c r="D8" s="14">
        <v>1</v>
      </c>
      <c r="E8" s="23" t="s">
        <v>23</v>
      </c>
      <c r="F8" s="24">
        <v>1</v>
      </c>
      <c r="G8" s="94"/>
      <c r="H8" s="41">
        <f>F8*G8</f>
        <v>0</v>
      </c>
      <c r="I8" s="134">
        <f>(H8*D8+H9*D9)/C8</f>
        <v>0</v>
      </c>
      <c r="K8" s="3"/>
    </row>
    <row r="9" spans="1:11" s="7" customFormat="1" ht="30.6" customHeight="1" x14ac:dyDescent="0.2">
      <c r="A9" s="229"/>
      <c r="B9" s="68" t="s">
        <v>84</v>
      </c>
      <c r="C9" s="117"/>
      <c r="D9" s="22">
        <v>2</v>
      </c>
      <c r="E9" s="12" t="s">
        <v>23</v>
      </c>
      <c r="F9" s="26">
        <v>1</v>
      </c>
      <c r="G9" s="95"/>
      <c r="H9" s="50">
        <f>F9*G9</f>
        <v>0</v>
      </c>
      <c r="I9" s="135"/>
      <c r="K9" s="3"/>
    </row>
    <row r="10" spans="1:11" s="7" customFormat="1" ht="30.6" customHeight="1" x14ac:dyDescent="0.2">
      <c r="A10" s="182" t="s">
        <v>79</v>
      </c>
      <c r="B10" s="69" t="s">
        <v>52</v>
      </c>
      <c r="C10" s="115">
        <v>8</v>
      </c>
      <c r="D10" s="14">
        <v>3</v>
      </c>
      <c r="E10" s="23" t="s">
        <v>23</v>
      </c>
      <c r="F10" s="24">
        <v>1</v>
      </c>
      <c r="G10" s="94"/>
      <c r="H10" s="41">
        <f t="shared" ref="H10:H15" si="1">G10*F10</f>
        <v>0</v>
      </c>
      <c r="I10" s="134">
        <f>(H10*D10+H11*D11+H12*D12+H13*D13)/C10</f>
        <v>0</v>
      </c>
      <c r="K10" s="3"/>
    </row>
    <row r="11" spans="1:11" s="7" customFormat="1" ht="30.6" customHeight="1" x14ac:dyDescent="0.2">
      <c r="A11" s="183"/>
      <c r="B11" s="70" t="s">
        <v>85</v>
      </c>
      <c r="C11" s="116"/>
      <c r="D11" s="3">
        <v>1</v>
      </c>
      <c r="E11" s="11" t="s">
        <v>23</v>
      </c>
      <c r="F11" s="25">
        <v>1</v>
      </c>
      <c r="G11" s="98"/>
      <c r="H11" s="7">
        <f t="shared" si="1"/>
        <v>0</v>
      </c>
      <c r="I11" s="145"/>
      <c r="K11" s="3"/>
    </row>
    <row r="12" spans="1:11" s="7" customFormat="1" ht="30.6" customHeight="1" x14ac:dyDescent="0.2">
      <c r="A12" s="183"/>
      <c r="B12" s="70" t="s">
        <v>51</v>
      </c>
      <c r="C12" s="116"/>
      <c r="D12" s="3">
        <v>1</v>
      </c>
      <c r="E12" s="11" t="s">
        <v>23</v>
      </c>
      <c r="F12" s="25">
        <v>1</v>
      </c>
      <c r="G12" s="98"/>
      <c r="H12" s="7">
        <f t="shared" si="1"/>
        <v>0</v>
      </c>
      <c r="I12" s="145"/>
      <c r="K12" s="3"/>
    </row>
    <row r="13" spans="1:11" s="7" customFormat="1" ht="30.6" customHeight="1" x14ac:dyDescent="0.2">
      <c r="A13" s="184"/>
      <c r="B13" s="71" t="s">
        <v>36</v>
      </c>
      <c r="C13" s="117"/>
      <c r="D13" s="22">
        <v>3</v>
      </c>
      <c r="E13" s="12" t="s">
        <v>23</v>
      </c>
      <c r="F13" s="26">
        <v>1</v>
      </c>
      <c r="G13" s="95"/>
      <c r="H13" s="50">
        <f t="shared" si="1"/>
        <v>0</v>
      </c>
      <c r="I13" s="135"/>
      <c r="K13" s="3"/>
    </row>
    <row r="14" spans="1:11" s="7" customFormat="1" ht="30.6" customHeight="1" x14ac:dyDescent="0.2">
      <c r="A14" s="51" t="s">
        <v>53</v>
      </c>
      <c r="B14" s="72" t="s">
        <v>138</v>
      </c>
      <c r="C14" s="54">
        <v>1</v>
      </c>
      <c r="D14" s="53">
        <v>1</v>
      </c>
      <c r="E14" s="60" t="s">
        <v>23</v>
      </c>
      <c r="F14" s="55">
        <v>1</v>
      </c>
      <c r="G14" s="99"/>
      <c r="H14" s="56">
        <f t="shared" si="1"/>
        <v>0</v>
      </c>
      <c r="I14" s="61">
        <f>(H14*D14)/C14</f>
        <v>0</v>
      </c>
      <c r="K14" s="3"/>
    </row>
    <row r="15" spans="1:11" s="7" customFormat="1" ht="30.6" customHeight="1" x14ac:dyDescent="0.2">
      <c r="A15" s="57" t="s">
        <v>80</v>
      </c>
      <c r="B15" s="73" t="s">
        <v>80</v>
      </c>
      <c r="C15" s="54">
        <v>9</v>
      </c>
      <c r="D15" s="53">
        <v>9</v>
      </c>
      <c r="E15" s="60" t="s">
        <v>23</v>
      </c>
      <c r="F15" s="55">
        <v>1</v>
      </c>
      <c r="G15" s="99"/>
      <c r="H15" s="56">
        <f t="shared" si="1"/>
        <v>0</v>
      </c>
      <c r="I15" s="61">
        <f>(H15*D15)/C15</f>
        <v>0</v>
      </c>
      <c r="K15" s="3"/>
    </row>
    <row r="16" spans="1:11" s="7" customFormat="1" ht="30.6" customHeight="1" x14ac:dyDescent="0.2">
      <c r="A16" s="225" t="s">
        <v>44</v>
      </c>
      <c r="B16" s="226"/>
      <c r="C16" s="225">
        <f>SUM(C2:C15)</f>
        <v>30</v>
      </c>
      <c r="D16" s="227"/>
      <c r="E16" s="150">
        <f>(I2*C2+I4*C4+I8*C8+I10*C10+I14*C14+I15*C15)/C16</f>
        <v>0</v>
      </c>
      <c r="F16" s="151"/>
      <c r="G16" s="151"/>
      <c r="H16" s="158" t="str">
        <f>IF(OR(I2&lt;10,I4&lt;10,I8&lt;10,I10&lt;10,I14&lt;10,I15&lt;10),"Valide pas","Valide")</f>
        <v>Valide pas</v>
      </c>
      <c r="I16" s="159"/>
      <c r="K16" s="3"/>
    </row>
    <row r="17" spans="1:11" s="7" customFormat="1" ht="30.6" customHeight="1" x14ac:dyDescent="0.2">
      <c r="A17" s="3"/>
      <c r="B17" s="3"/>
      <c r="C17" s="3"/>
      <c r="D17" s="3"/>
      <c r="E17" s="3"/>
      <c r="F17" s="27"/>
      <c r="G17" s="3"/>
      <c r="H17" s="62"/>
      <c r="I17" s="62"/>
      <c r="K17" s="3"/>
    </row>
  </sheetData>
  <mergeCells count="19">
    <mergeCell ref="C1:D1"/>
    <mergeCell ref="E1:G1"/>
    <mergeCell ref="H1:I1"/>
    <mergeCell ref="A2:A3"/>
    <mergeCell ref="C2:C3"/>
    <mergeCell ref="I2:I3"/>
    <mergeCell ref="I8:I9"/>
    <mergeCell ref="A8:A9"/>
    <mergeCell ref="C8:C9"/>
    <mergeCell ref="A4:A7"/>
    <mergeCell ref="C4:C7"/>
    <mergeCell ref="I4:I7"/>
    <mergeCell ref="A16:B16"/>
    <mergeCell ref="C16:D16"/>
    <mergeCell ref="A10:A13"/>
    <mergeCell ref="C10:C13"/>
    <mergeCell ref="I10:I13"/>
    <mergeCell ref="E16:G16"/>
    <mergeCell ref="H16:I16"/>
  </mergeCells>
  <conditionalFormatting sqref="H16">
    <cfRule type="cellIs" dxfId="3" priority="1" operator="equal">
      <formula>"Valide pas"</formula>
    </cfRule>
    <cfRule type="cellIs" dxfId="2" priority="2" operator="equal">
      <formula>"Valide"</formula>
    </cfRule>
  </conditionalFormatting>
  <conditionalFormatting sqref="I2:I15 E16">
    <cfRule type="cellIs" dxfId="1" priority="6" operator="lessThan">
      <formula>10</formula>
    </cfRule>
    <cfRule type="cellIs" dxfId="0" priority="7" operator="greaterThanOrEqual">
      <formula>10</formula>
    </cfRule>
  </conditionalFormatting>
  <pageMargins left="0" right="0" top="0.39370078740157483" bottom="0.39370078740157483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268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HOME</vt:lpstr>
      <vt:lpstr>S5_FISE</vt:lpstr>
      <vt:lpstr>S6_FISE</vt:lpstr>
      <vt:lpstr>S7_FISE</vt:lpstr>
      <vt:lpstr>S8_FISE</vt:lpstr>
      <vt:lpstr>S9_FISE</vt:lpstr>
      <vt:lpstr>S10_FISE</vt:lpstr>
      <vt:lpstr>S5_FISA</vt:lpstr>
      <vt:lpstr>S6_FISA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Julien Chataigner</cp:lastModifiedBy>
  <cp:revision>38</cp:revision>
  <dcterms:created xsi:type="dcterms:W3CDTF">2024-10-12T13:06:05Z</dcterms:created>
  <dcterms:modified xsi:type="dcterms:W3CDTF">2026-07-11T09:44:56Z</dcterms:modified>
</cp:coreProperties>
</file>