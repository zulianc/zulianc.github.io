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Semestre 1" sheetId="2" state="visible" r:id="rId4"/>
    <sheet name="Semestre 2" sheetId="3" state="visible" r:id="rId5"/>
    <sheet name="Semestre 3" sheetId="4" state="visible" r:id="rId6"/>
    <sheet name="Semestre 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<sst xmlns="http://schemas.openxmlformats.org/spreadsheetml/2006/main" count="172" uniqueCount="68">
  <si>
    <t xml:space="preserve">Saint-Tableur pour option Physique/Méca, 2022-2024</t>
  </si>
  <si>
    <t xml:space="preserve">Résumé des notes</t>
  </si>
  <si>
    <t xml:space="preserve">Les différents semestres sont accessibles par les onglets en bas</t>
  </si>
  <si>
    <t xml:space="preserve">Semestre 1</t>
  </si>
  <si>
    <t xml:space="preserve">Semestre 3</t>
  </si>
  <si>
    <t xml:space="preserve">Ce tableur prend en compte les notes bonus et les notes encore inconnues</t>
  </si>
  <si>
    <t xml:space="preserve">Pour chaque semestre, vous pourrez voir vos moyennes par matières et la validation potentiel</t>
  </si>
  <si>
    <t xml:space="preserve">Semestre 2</t>
  </si>
  <si>
    <t xml:space="preserve">Semestre 4</t>
  </si>
  <si>
    <t xml:space="preserve">Les cases blanches contiennent des formules, ne les modifiez pas</t>
  </si>
  <si>
    <t xml:space="preserve">Les cases grises sont là où vous pouvez rentrer vos notes</t>
  </si>
  <si>
    <t xml:space="preserve">Année 1</t>
  </si>
  <si>
    <t xml:space="preserve">Année 2</t>
  </si>
  <si>
    <t xml:space="preserve">Les cases vertes indiquent une note bonus</t>
  </si>
  <si>
    <t xml:space="preserve">Le Saint-Tableur originel est de Dorian (https://dorian-tonnis.fr/)</t>
  </si>
  <si>
    <t xml:space="preserve">Cette version est de moi (julien)</t>
  </si>
  <si>
    <t xml:space="preserve">PeiP</t>
  </si>
  <si>
    <t xml:space="preserve">UE</t>
  </si>
  <si>
    <t xml:space="preserve">Crédits</t>
  </si>
  <si>
    <t xml:space="preserve">Evaluations</t>
  </si>
  <si>
    <t xml:space="preserve">Notes</t>
  </si>
  <si>
    <t xml:space="preserve">Coefficients</t>
  </si>
  <si>
    <t xml:space="preserve">Moyenne</t>
  </si>
  <si>
    <t xml:space="preserve">Maths</t>
  </si>
  <si>
    <t xml:space="preserve">Khôlles</t>
  </si>
  <si>
    <t xml:space="preserve">DS</t>
  </si>
  <si>
    <t xml:space="preserve">Algèbre</t>
  </si>
  <si>
    <t xml:space="preserve">Examen</t>
  </si>
  <si>
    <t xml:space="preserve">Analyse</t>
  </si>
  <si>
    <t xml:space="preserve">Physique-chimie</t>
  </si>
  <si>
    <t xml:space="preserve">Physique</t>
  </si>
  <si>
    <t xml:space="preserve">Khôlle</t>
  </si>
  <si>
    <t xml:space="preserve">Chimie</t>
  </si>
  <si>
    <t xml:space="preserve">Info</t>
  </si>
  <si>
    <t xml:space="preserve">Asker</t>
  </si>
  <si>
    <t xml:space="preserve">TP noté</t>
  </si>
  <si>
    <t xml:space="preserve">Algo</t>
  </si>
  <si>
    <t xml:space="preserve">C++</t>
  </si>
  <si>
    <t xml:space="preserve">Transversales</t>
  </si>
  <si>
    <t xml:space="preserve">Anglais</t>
  </si>
  <si>
    <t xml:space="preserve">Français</t>
  </si>
  <si>
    <t xml:space="preserve">Module</t>
  </si>
  <si>
    <t xml:space="preserve">Pix</t>
  </si>
  <si>
    <t xml:space="preserve">Sport</t>
  </si>
  <si>
    <t xml:space="preserve">SCIENCES</t>
  </si>
  <si>
    <t xml:space="preserve">TR</t>
  </si>
  <si>
    <t xml:space="preserve">TOTAL</t>
  </si>
  <si>
    <t xml:space="preserve">Méca</t>
  </si>
  <si>
    <t xml:space="preserve">CC</t>
  </si>
  <si>
    <t xml:space="preserve">Texte</t>
  </si>
  <si>
    <t xml:space="preserve">Bibiographie</t>
  </si>
  <si>
    <t xml:space="preserve">Oral</t>
  </si>
  <si>
    <t xml:space="preserve">Compétences</t>
  </si>
  <si>
    <t xml:space="preserve">PPP2</t>
  </si>
  <si>
    <t xml:space="preserve"> </t>
  </si>
  <si>
    <t xml:space="preserve">DS 1</t>
  </si>
  <si>
    <t xml:space="preserve">DS 2</t>
  </si>
  <si>
    <t xml:space="preserve">Partiel</t>
  </si>
  <si>
    <t xml:space="preserve">Electromag</t>
  </si>
  <si>
    <t xml:space="preserve">TP</t>
  </si>
  <si>
    <t xml:space="preserve">POTE</t>
  </si>
  <si>
    <t xml:space="preserve">Stage</t>
  </si>
  <si>
    <t xml:space="preserve">Thermo</t>
  </si>
  <si>
    <t xml:space="preserve">final</t>
  </si>
  <si>
    <t xml:space="preserve">Optique</t>
  </si>
  <si>
    <t xml:space="preserve">Bibliographie</t>
  </si>
  <si>
    <t xml:space="preserve">Projet</t>
  </si>
  <si>
    <t xml:space="preserve">Renforcement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</si>
</sst>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General"/>
    <numFmt numFmtId="167" formatCode="0"/>
    <numFmt numFmtId="168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"/>
    </font>
    <font>
      <b val="true"/>
      <u val="single"/>
      <sz val="14"/>
      <color theme="1"/>
      <name val="Calibri"/>
      <family val="0"/>
      <charset val="1"/>
    </font>
    <font>
      <i val="true"/>
      <sz val="14"/>
      <color theme="1"/>
      <name val="Calibri"/>
      <family val="0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theme="0"/>
        <bgColor rgb="FFE7E6E6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medium"/>
      <top style="double"/>
      <bottom style="double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medium"/>
      <top style="double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 style="double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7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203125" defaultRowHeight="19.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100.83"/>
    <col collapsed="false" customWidth="true" hidden="false" outlineLevel="0" max="3" min="3" style="1" width="5.83"/>
    <col collapsed="false" customWidth="true" hidden="false" outlineLevel="0" max="4" min="4" style="1" width="13.83"/>
    <col collapsed="false" customWidth="true" hidden="false" outlineLevel="0" max="5" min="5" style="1" width="17.83"/>
    <col collapsed="false" customWidth="true" hidden="false" outlineLevel="0" max="6" min="6" style="1" width="5.83"/>
    <col collapsed="false" customWidth="true" hidden="false" outlineLevel="0" max="7" min="7" style="1" width="13.83"/>
    <col collapsed="false" customWidth="true" hidden="false" outlineLevel="0" max="8" min="8" style="1" width="17.83"/>
    <col collapsed="false" customWidth="false" hidden="false" outlineLevel="0" max="16384" min="9" style="1" width="10.83"/>
  </cols>
  <sheetData>
    <row r="1" customFormat="false" ht="19.5" hidden="false" customHeight="true" outlineLevel="0" collapsed="false">
      <c r="B1" s="2" t="s">
        <v>0</v>
      </c>
      <c r="D1" s="3" t="s">
        <v>1</v>
      </c>
      <c r="E1" s="3"/>
      <c r="F1" s="3"/>
      <c r="G1" s="3"/>
      <c r="H1" s="3"/>
    </row>
    <row r="2" customFormat="false" ht="19.5" hidden="false" customHeight="true" outlineLevel="0" collapsed="false">
      <c r="D2" s="4"/>
      <c r="E2" s="5"/>
      <c r="F2" s="6"/>
      <c r="G2" s="4"/>
      <c r="H2" s="6"/>
    </row>
    <row r="3" customFormat="false" ht="19.5" hidden="false" customHeight="true" outlineLevel="0" collapsed="false">
      <c r="B3" s="1" t="s">
        <v>2</v>
      </c>
      <c r="D3" s="7" t="s">
        <v>3</v>
      </c>
      <c r="E3" s="8" t="n">
        <f aca="false">'Semestre 1'!I34</f>
        <v>0</v>
      </c>
      <c r="G3" s="7" t="s">
        <v>4</v>
      </c>
      <c r="H3" s="8" t="n">
        <f aca="false">'Semestre 3'!J31</f>
        <v>0</v>
      </c>
    </row>
    <row r="4" customFormat="false" ht="19.5" hidden="false" customHeight="true" outlineLevel="0" collapsed="false">
      <c r="B4" s="1" t="s">
        <v>5</v>
      </c>
      <c r="D4" s="7"/>
      <c r="E4" s="9" t="str">
        <f aca="false">'Semestre 1'!H35</f>
        <v>- - -</v>
      </c>
      <c r="G4" s="7"/>
      <c r="H4" s="10" t="str">
        <f aca="false">'Semestre 3'!H32</f>
        <v>- - -</v>
      </c>
    </row>
    <row r="5" customFormat="false" ht="19.5" hidden="false" customHeight="true" outlineLevel="0" collapsed="false">
      <c r="B5" s="1" t="s">
        <v>6</v>
      </c>
    </row>
    <row r="6" customFormat="false" ht="19.5" hidden="false" customHeight="true" outlineLevel="0" collapsed="false">
      <c r="D6" s="7" t="s">
        <v>7</v>
      </c>
      <c r="E6" s="8" t="n">
        <f aca="false">'Semestre 2'!I41</f>
        <v>0</v>
      </c>
      <c r="G6" s="7" t="s">
        <v>8</v>
      </c>
      <c r="H6" s="8" t="n">
        <f aca="false">'Semestre 4'!J34</f>
        <v>0</v>
      </c>
    </row>
    <row r="7" customFormat="false" ht="19.5" hidden="false" customHeight="true" outlineLevel="0" collapsed="false">
      <c r="B7" s="9" t="s">
        <v>9</v>
      </c>
      <c r="D7" s="7"/>
      <c r="E7" s="9" t="str">
        <f aca="false">'Semestre 2'!H42</f>
        <v>- - -</v>
      </c>
      <c r="G7" s="7"/>
      <c r="H7" s="9" t="str">
        <f aca="false">'Semestre 4'!H35</f>
        <v>- - -</v>
      </c>
    </row>
    <row r="9" customFormat="false" ht="19.5" hidden="false" customHeight="true" outlineLevel="0" collapsed="false">
      <c r="B9" s="11" t="s">
        <v>10</v>
      </c>
    </row>
    <row r="10" customFormat="false" ht="19.5" hidden="false" customHeight="true" outlineLevel="0" collapsed="false">
      <c r="D10" s="7" t="s">
        <v>11</v>
      </c>
      <c r="E10" s="8" t="n">
        <f aca="false">IF(E3+E6=0,0,((E3+E6)/(IF(E3=0,0,1)+IF(E6=0,0,1))))</f>
        <v>0</v>
      </c>
      <c r="G10" s="7" t="s">
        <v>12</v>
      </c>
      <c r="H10" s="8" t="n">
        <f aca="false">IF(H3+H6=0,0,((H3+H6)/(IF(H3=0,0,1)+IF(H6=0,0,1))))</f>
        <v>0</v>
      </c>
    </row>
    <row r="11" customFormat="false" ht="19.5" hidden="false" customHeight="true" outlineLevel="0" collapsed="false">
      <c r="B11" s="12" t="s">
        <v>13</v>
      </c>
      <c r="D11" s="7"/>
      <c r="E11" s="9" t="str">
        <f aca="false">IF(AND('Semestre 1'!I32=0,'Semestre 2'!I39=0),"- - -",IF(AND(('Semestre 1'!I32+'Semestre 2'!I39)/(IF('Semestre 1'!I32=0,0,1)+IF('Semestre 2'!I39=0,0,1))&gt;=10,NOT('Semestre 1'!I33="NVAL"),NOT('Semestre 2'!I40="NVAL")),"Année validée","Année échouée"))</f>
        <v>- - -</v>
      </c>
      <c r="G11" s="7"/>
      <c r="H11" s="9" t="str">
        <f aca="false">IF(AND('Semestre 3'!J29=0,'Semestre 4'!J32=0),"- - -",IF(AND(('Semestre 3'!J29+'Semestre 4'!J32)/(IF('Semestre 3'!J29=0,0,1)+IF('Semestre 4'!J32=0,0,1))&gt;=10,NOT('Semestre 3'!J30="NVAL"),NOT('Semestre 4'!J33="NVAL")),"Année validée","Année échouée"))</f>
        <v>- - -</v>
      </c>
    </row>
    <row r="13" customFormat="false" ht="19.5" hidden="false" customHeight="true" outlineLevel="0" collapsed="false">
      <c r="B13" s="1" t="s">
        <v>14</v>
      </c>
    </row>
    <row r="14" customFormat="false" ht="19.5" hidden="false" customHeight="true" outlineLevel="0" collapsed="false">
      <c r="B14" s="1" t="s">
        <v>15</v>
      </c>
      <c r="D14" s="7" t="s">
        <v>16</v>
      </c>
      <c r="E14" s="8" t="n">
        <f aca="false">IF(E10+H10=0,0,((E10+H10)/(IF(E10=0,0,1)+IF(H10=0,0,1))))</f>
        <v>0</v>
      </c>
    </row>
    <row r="15" customFormat="false" ht="19.5" hidden="false" customHeight="true" outlineLevel="0" collapsed="false">
      <c r="D15" s="7"/>
      <c r="E15" s="9" t="str">
        <f aca="false">IF(E14=0,"- - -",IF(AND(NOT(E11="Année échouée"),NOT(H11="Année échouée")),"PeiP validé","PeiP échoué"))</f>
        <v>- - -</v>
      </c>
    </row>
  </sheetData>
  <mergeCells count="8">
    <mergeCell ref="D1:H1"/>
    <mergeCell ref="D3:D4"/>
    <mergeCell ref="G3:G4"/>
    <mergeCell ref="D6:D7"/>
    <mergeCell ref="G6:G7"/>
    <mergeCell ref="D10:D11"/>
    <mergeCell ref="G10:G11"/>
    <mergeCell ref="D14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6796875" defaultRowHeight="15" zeroHeight="false" outlineLevelRow="0" outlineLevelCol="0"/>
  <cols>
    <col collapsed="false" customWidth="true" hidden="false" outlineLevel="0" max="1" min="1" style="13" width="3.83"/>
    <col collapsed="false" customWidth="true" hidden="false" outlineLevel="0" max="2" min="2" style="13" width="13.83"/>
    <col collapsed="false" customWidth="true" hidden="false" outlineLevel="0" max="4" min="3" style="13" width="6.83"/>
    <col collapsed="false" customWidth="true" hidden="false" outlineLevel="0" max="5" min="5" style="13" width="10.83"/>
    <col collapsed="false" customWidth="true" hidden="false" outlineLevel="0" max="7" min="6" style="14" width="5.83"/>
    <col collapsed="false" customWidth="true" hidden="false" outlineLevel="0" max="8" min="8" style="13" width="10.83"/>
    <col collapsed="false" customWidth="true" hidden="false" outlineLevel="0" max="10" min="9" style="14" width="5.83"/>
    <col collapsed="false" customWidth="false" hidden="false" outlineLevel="0" max="16384" min="11" style="13" width="8.67"/>
  </cols>
  <sheetData>
    <row r="1" customFormat="false" ht="15" hidden="false" customHeight="true" outlineLevel="0" collapsed="false">
      <c r="A1" s="15" t="s">
        <v>17</v>
      </c>
      <c r="B1" s="15"/>
      <c r="C1" s="16" t="s">
        <v>18</v>
      </c>
      <c r="D1" s="16" t="s">
        <v>19</v>
      </c>
      <c r="E1" s="16"/>
      <c r="F1" s="17" t="s">
        <v>20</v>
      </c>
      <c r="G1" s="17"/>
      <c r="H1" s="16" t="s">
        <v>21</v>
      </c>
      <c r="I1" s="18" t="s">
        <v>22</v>
      </c>
      <c r="J1" s="18"/>
    </row>
    <row r="2" customFormat="false" ht="15" hidden="false" customHeight="true" outlineLevel="0" collapsed="false">
      <c r="A2" s="19" t="s">
        <v>23</v>
      </c>
      <c r="B2" s="19"/>
      <c r="C2" s="20" t="n">
        <v>12</v>
      </c>
      <c r="D2" s="21" t="s">
        <v>24</v>
      </c>
      <c r="E2" s="22" t="n">
        <v>1</v>
      </c>
      <c r="F2" s="23"/>
      <c r="G2" s="24" t="n">
        <f aca="false">IF(COUNT(F2:F6)=1,AVERAGE(F2:F6),(SUM(F2:F6)-MIN(F2:F6))/(COUNT(F2:F6)-1))</f>
        <v>0</v>
      </c>
      <c r="H2" s="22" t="n">
        <v>0.4</v>
      </c>
      <c r="I2" s="25" t="n">
        <f aca="false">IF(SUM(F2:G12)=0,0,(G2*H2+G7*H7+G11*H11)/(IF(G2=0,0,H2)+IF(G7=0,0,H7)+IF(G11=0,0,H11)))</f>
        <v>0</v>
      </c>
      <c r="J2" s="25"/>
    </row>
    <row r="3" customFormat="false" ht="15" hidden="false" customHeight="true" outlineLevel="0" collapsed="false">
      <c r="A3" s="19"/>
      <c r="B3" s="19"/>
      <c r="C3" s="20"/>
      <c r="D3" s="21"/>
      <c r="E3" s="26" t="n">
        <v>2</v>
      </c>
      <c r="F3" s="27"/>
      <c r="G3" s="24"/>
      <c r="H3" s="22"/>
      <c r="I3" s="25"/>
      <c r="J3" s="25"/>
    </row>
    <row r="4" customFormat="false" ht="15" hidden="false" customHeight="true" outlineLevel="0" collapsed="false">
      <c r="A4" s="19"/>
      <c r="B4" s="19"/>
      <c r="C4" s="20"/>
      <c r="D4" s="21"/>
      <c r="E4" s="26" t="n">
        <v>3</v>
      </c>
      <c r="F4" s="27"/>
      <c r="G4" s="24"/>
      <c r="H4" s="22"/>
      <c r="I4" s="25"/>
      <c r="J4" s="25"/>
    </row>
    <row r="5" customFormat="false" ht="15" hidden="false" customHeight="true" outlineLevel="0" collapsed="false">
      <c r="A5" s="19"/>
      <c r="B5" s="19"/>
      <c r="C5" s="20"/>
      <c r="D5" s="21"/>
      <c r="E5" s="26" t="n">
        <v>4</v>
      </c>
      <c r="F5" s="27"/>
      <c r="G5" s="24"/>
      <c r="H5" s="22"/>
      <c r="I5" s="25"/>
      <c r="J5" s="25"/>
    </row>
    <row r="6" customFormat="false" ht="15" hidden="false" customHeight="true" outlineLevel="0" collapsed="false">
      <c r="A6" s="19"/>
      <c r="B6" s="19"/>
      <c r="C6" s="20"/>
      <c r="D6" s="21"/>
      <c r="E6" s="26" t="n">
        <v>5</v>
      </c>
      <c r="F6" s="27"/>
      <c r="G6" s="24"/>
      <c r="H6" s="22"/>
      <c r="I6" s="25"/>
      <c r="J6" s="25"/>
    </row>
    <row r="7" customFormat="false" ht="15" hidden="false" customHeight="true" outlineLevel="0" collapsed="false">
      <c r="A7" s="19"/>
      <c r="B7" s="19"/>
      <c r="C7" s="20"/>
      <c r="D7" s="28" t="s">
        <v>25</v>
      </c>
      <c r="E7" s="26" t="n">
        <v>1</v>
      </c>
      <c r="F7" s="27"/>
      <c r="G7" s="29" t="n">
        <f aca="false">IF(COUNT(F7:F10)=1,AVERAGE(F7:F10),(SUM(F7:F10)-MIN(F7:F10))/(COUNT(F7:F10)-1))</f>
        <v>0</v>
      </c>
      <c r="H7" s="26" t="n">
        <v>0.3</v>
      </c>
      <c r="I7" s="25"/>
      <c r="J7" s="25"/>
    </row>
    <row r="8" customFormat="false" ht="15" hidden="false" customHeight="true" outlineLevel="0" collapsed="false">
      <c r="A8" s="19"/>
      <c r="B8" s="19"/>
      <c r="C8" s="20"/>
      <c r="D8" s="28"/>
      <c r="E8" s="26" t="n">
        <v>2</v>
      </c>
      <c r="F8" s="27"/>
      <c r="G8" s="29"/>
      <c r="H8" s="26"/>
      <c r="I8" s="25"/>
      <c r="J8" s="25"/>
    </row>
    <row r="9" customFormat="false" ht="15" hidden="false" customHeight="true" outlineLevel="0" collapsed="false">
      <c r="A9" s="19"/>
      <c r="B9" s="19"/>
      <c r="C9" s="20"/>
      <c r="D9" s="28"/>
      <c r="E9" s="26" t="n">
        <v>3</v>
      </c>
      <c r="F9" s="27"/>
      <c r="G9" s="29"/>
      <c r="H9" s="26"/>
      <c r="I9" s="25"/>
      <c r="J9" s="25"/>
    </row>
    <row r="10" customFormat="false" ht="15" hidden="false" customHeight="true" outlineLevel="0" collapsed="false">
      <c r="A10" s="19"/>
      <c r="B10" s="19"/>
      <c r="C10" s="20"/>
      <c r="D10" s="28"/>
      <c r="E10" s="26" t="n">
        <v>4</v>
      </c>
      <c r="F10" s="27"/>
      <c r="G10" s="29"/>
      <c r="H10" s="26"/>
      <c r="I10" s="25"/>
      <c r="J10" s="25"/>
    </row>
    <row r="11" customFormat="false" ht="15" hidden="false" customHeight="true" outlineLevel="0" collapsed="false">
      <c r="A11" s="26" t="s">
        <v>26</v>
      </c>
      <c r="B11" s="26"/>
      <c r="C11" s="20"/>
      <c r="D11" s="30" t="s">
        <v>27</v>
      </c>
      <c r="E11" s="30"/>
      <c r="F11" s="31"/>
      <c r="G11" s="29" t="n">
        <f aca="false">IF(COUNT(F11:F12)=0,0,AVERAGE(F11:F12))</f>
        <v>0</v>
      </c>
      <c r="H11" s="30" t="n">
        <v>0.3</v>
      </c>
      <c r="I11" s="32" t="n">
        <f aca="false">IF(SUM(F2:G10)+F11=0,0,(G2*H2+G7*H7+F11*H11)/(IF(G2=0,0,H2)+IF(G7=0,0,H7)+IF(F11=0,0,H11)))</f>
        <v>0</v>
      </c>
      <c r="J11" s="32"/>
    </row>
    <row r="12" customFormat="false" ht="15" hidden="false" customHeight="true" outlineLevel="0" collapsed="false">
      <c r="A12" s="26" t="s">
        <v>28</v>
      </c>
      <c r="B12" s="26"/>
      <c r="C12" s="20"/>
      <c r="D12" s="30"/>
      <c r="E12" s="30"/>
      <c r="F12" s="33"/>
      <c r="G12" s="29"/>
      <c r="H12" s="30"/>
      <c r="I12" s="34" t="n">
        <f aca="false">IF(SUM(F2:G10)+F12=0,0,(G2*H2+G7*H7+F12*H11)/(IF(G2=0,0,H2)+IF(G7=0,0,H7)+IF(F12=0,0,H11)))</f>
        <v>0</v>
      </c>
      <c r="J12" s="34"/>
    </row>
    <row r="13" customFormat="false" ht="15" hidden="false" customHeight="true" outlineLevel="0" collapsed="false">
      <c r="A13" s="35" t="s">
        <v>29</v>
      </c>
      <c r="B13" s="36" t="s">
        <v>30</v>
      </c>
      <c r="C13" s="16" t="n">
        <v>6</v>
      </c>
      <c r="D13" s="22" t="s">
        <v>31</v>
      </c>
      <c r="E13" s="22"/>
      <c r="F13" s="23"/>
      <c r="G13" s="23"/>
      <c r="H13" s="22" t="n">
        <v>0.1</v>
      </c>
      <c r="I13" s="37" t="n">
        <f aca="false">IF(SUM(F13:G16)=0,0,(F13*H13+F14*H14+F15*H15+F16*H16)/(IF(F13=0,0,H13)+IF(F14=0,0,H14)+IF(F15=0,0,H15)+IF(F16=0,0,H16)))</f>
        <v>0</v>
      </c>
      <c r="J13" s="18" t="n">
        <f aca="false">IF(SUM(F13:G20)=0,0,(I13+I17)/(IF(I13=0,0,1)+IF(I17=0,0,1)))</f>
        <v>0</v>
      </c>
    </row>
    <row r="14" customFormat="false" ht="15" hidden="false" customHeight="true" outlineLevel="0" collapsed="false">
      <c r="A14" s="35"/>
      <c r="B14" s="36"/>
      <c r="C14" s="36"/>
      <c r="D14" s="26" t="s">
        <v>25</v>
      </c>
      <c r="E14" s="26" t="n">
        <v>1</v>
      </c>
      <c r="F14" s="27"/>
      <c r="G14" s="27"/>
      <c r="H14" s="26" t="n">
        <v>0.2</v>
      </c>
      <c r="I14" s="37"/>
      <c r="J14" s="18"/>
    </row>
    <row r="15" customFormat="false" ht="15" hidden="false" customHeight="true" outlineLevel="0" collapsed="false">
      <c r="A15" s="35"/>
      <c r="B15" s="36"/>
      <c r="C15" s="36"/>
      <c r="D15" s="36"/>
      <c r="E15" s="26" t="n">
        <v>2</v>
      </c>
      <c r="F15" s="27"/>
      <c r="G15" s="27"/>
      <c r="H15" s="26" t="n">
        <v>0.3</v>
      </c>
      <c r="I15" s="37"/>
      <c r="J15" s="18"/>
    </row>
    <row r="16" customFormat="false" ht="15" hidden="false" customHeight="true" outlineLevel="0" collapsed="false">
      <c r="A16" s="35"/>
      <c r="B16" s="36"/>
      <c r="C16" s="16"/>
      <c r="D16" s="38" t="s">
        <v>27</v>
      </c>
      <c r="E16" s="38"/>
      <c r="F16" s="39"/>
      <c r="G16" s="39"/>
      <c r="H16" s="38" t="n">
        <v>0.4</v>
      </c>
      <c r="I16" s="37"/>
      <c r="J16" s="18"/>
    </row>
    <row r="17" customFormat="false" ht="15" hidden="false" customHeight="true" outlineLevel="0" collapsed="false">
      <c r="A17" s="35"/>
      <c r="B17" s="40" t="s">
        <v>32</v>
      </c>
      <c r="C17" s="16"/>
      <c r="D17" s="41" t="s">
        <v>31</v>
      </c>
      <c r="E17" s="41"/>
      <c r="F17" s="42"/>
      <c r="G17" s="42"/>
      <c r="H17" s="43" t="n">
        <v>0.1</v>
      </c>
      <c r="I17" s="44" t="n">
        <f aca="false">IF(SUM(F17:G20)=0,0,(F17*H17+F18*H18+F19*H19+F20*H20)/(IF(F17=0,0,H17)+IF(F18=0,0,H18)+IF(F19=0,0,H19)+IF(F20=0,0,H20)))</f>
        <v>0</v>
      </c>
      <c r="J17" s="18"/>
    </row>
    <row r="18" customFormat="false" ht="15" hidden="false" customHeight="true" outlineLevel="0" collapsed="false">
      <c r="A18" s="35"/>
      <c r="B18" s="40"/>
      <c r="C18" s="16"/>
      <c r="D18" s="26" t="s">
        <v>25</v>
      </c>
      <c r="E18" s="26" t="n">
        <v>1</v>
      </c>
      <c r="F18" s="27"/>
      <c r="G18" s="27"/>
      <c r="H18" s="26" t="n">
        <v>0.2</v>
      </c>
      <c r="I18" s="44"/>
      <c r="J18" s="18"/>
    </row>
    <row r="19" customFormat="false" ht="15" hidden="false" customHeight="true" outlineLevel="0" collapsed="false">
      <c r="A19" s="35"/>
      <c r="B19" s="40"/>
      <c r="C19" s="16"/>
      <c r="D19" s="26"/>
      <c r="E19" s="26" t="n">
        <v>2</v>
      </c>
      <c r="F19" s="27"/>
      <c r="G19" s="27"/>
      <c r="H19" s="26" t="n">
        <v>0.3</v>
      </c>
      <c r="I19" s="44"/>
      <c r="J19" s="18"/>
    </row>
    <row r="20" customFormat="false" ht="15" hidden="false" customHeight="true" outlineLevel="0" collapsed="false">
      <c r="A20" s="35"/>
      <c r="B20" s="40"/>
      <c r="C20" s="16"/>
      <c r="D20" s="30" t="s">
        <v>27</v>
      </c>
      <c r="E20" s="30"/>
      <c r="F20" s="45"/>
      <c r="G20" s="45"/>
      <c r="H20" s="30" t="n">
        <v>0.4</v>
      </c>
      <c r="I20" s="44"/>
      <c r="J20" s="18"/>
    </row>
    <row r="21" customFormat="false" ht="15" hidden="false" customHeight="true" outlineLevel="0" collapsed="false">
      <c r="A21" s="15" t="s">
        <v>33</v>
      </c>
      <c r="B21" s="15"/>
      <c r="C21" s="46" t="n">
        <v>6</v>
      </c>
      <c r="D21" s="22" t="s">
        <v>34</v>
      </c>
      <c r="E21" s="22"/>
      <c r="F21" s="23"/>
      <c r="G21" s="23"/>
      <c r="H21" s="20" t="n">
        <v>0.06</v>
      </c>
      <c r="I21" s="18" t="n">
        <f aca="false">IF(SUM(F21:G26)=0,0,(F21*H21+F22*H22+F23*H23+F24*H24+G25*H25)/(IF(F21=0,0,H21)+IF(F22=0,0,H22)+IF(F23=0,0,H23)+IF(F24=0,0,H24)+IF(G25=0,0,H25)))</f>
        <v>0</v>
      </c>
      <c r="J21" s="18"/>
    </row>
    <row r="22" customFormat="false" ht="15" hidden="false" customHeight="true" outlineLevel="0" collapsed="false">
      <c r="A22" s="15"/>
      <c r="B22" s="15"/>
      <c r="C22" s="46"/>
      <c r="D22" s="26" t="s">
        <v>35</v>
      </c>
      <c r="E22" s="26" t="n">
        <v>1</v>
      </c>
      <c r="F22" s="27"/>
      <c r="G22" s="27"/>
      <c r="H22" s="26" t="n">
        <v>0.14</v>
      </c>
      <c r="I22" s="18"/>
      <c r="J22" s="18"/>
    </row>
    <row r="23" customFormat="false" ht="15" hidden="false" customHeight="true" outlineLevel="0" collapsed="false">
      <c r="A23" s="15"/>
      <c r="B23" s="15"/>
      <c r="C23" s="46"/>
      <c r="D23" s="26"/>
      <c r="E23" s="26" t="n">
        <v>2</v>
      </c>
      <c r="F23" s="27"/>
      <c r="G23" s="27"/>
      <c r="H23" s="26" t="n">
        <v>0.2</v>
      </c>
      <c r="I23" s="18"/>
      <c r="J23" s="18"/>
    </row>
    <row r="24" customFormat="false" ht="15" hidden="false" customHeight="true" outlineLevel="0" collapsed="false">
      <c r="A24" s="15"/>
      <c r="B24" s="15"/>
      <c r="C24" s="46"/>
      <c r="D24" s="26" t="s">
        <v>25</v>
      </c>
      <c r="E24" s="26"/>
      <c r="F24" s="27"/>
      <c r="G24" s="27"/>
      <c r="H24" s="26" t="n">
        <v>0.2</v>
      </c>
      <c r="I24" s="18"/>
      <c r="J24" s="18"/>
    </row>
    <row r="25" customFormat="false" ht="15" hidden="false" customHeight="true" outlineLevel="0" collapsed="false">
      <c r="A25" s="15"/>
      <c r="B25" s="15"/>
      <c r="C25" s="46"/>
      <c r="D25" s="30" t="s">
        <v>27</v>
      </c>
      <c r="E25" s="26" t="s">
        <v>36</v>
      </c>
      <c r="F25" s="27"/>
      <c r="G25" s="47" t="n">
        <f aca="false">IF(COUNT(F25:F26)=0,0,AVERAGE(F25:F26))</f>
        <v>0</v>
      </c>
      <c r="H25" s="30" t="n">
        <v>0.4</v>
      </c>
      <c r="I25" s="18"/>
      <c r="J25" s="18"/>
    </row>
    <row r="26" customFormat="false" ht="15" hidden="false" customHeight="true" outlineLevel="0" collapsed="false">
      <c r="A26" s="15"/>
      <c r="B26" s="15"/>
      <c r="C26" s="46"/>
      <c r="D26" s="30"/>
      <c r="E26" s="30" t="s">
        <v>37</v>
      </c>
      <c r="F26" s="45"/>
      <c r="G26" s="47"/>
      <c r="H26" s="30"/>
      <c r="I26" s="18"/>
      <c r="J26" s="18"/>
    </row>
    <row r="27" customFormat="false" ht="15" hidden="false" customHeight="true" outlineLevel="0" collapsed="false">
      <c r="A27" s="35" t="s">
        <v>38</v>
      </c>
      <c r="B27" s="22" t="s">
        <v>39</v>
      </c>
      <c r="C27" s="20" t="n">
        <v>2</v>
      </c>
      <c r="D27" s="22" t="s">
        <v>22</v>
      </c>
      <c r="E27" s="22"/>
      <c r="F27" s="23"/>
      <c r="G27" s="23"/>
      <c r="H27" s="22" t="n">
        <v>1</v>
      </c>
      <c r="I27" s="24" t="n">
        <f aca="false">F27</f>
        <v>0</v>
      </c>
      <c r="J27" s="48" t="n">
        <f aca="false">IF(SUM(F27:G29)=0,0,(I27+I28)/(IF(I27=0,0,1)+IF(I28=0,0,1)))</f>
        <v>0</v>
      </c>
    </row>
    <row r="28" customFormat="false" ht="15" hidden="false" customHeight="true" outlineLevel="0" collapsed="false">
      <c r="A28" s="35"/>
      <c r="B28" s="43" t="s">
        <v>40</v>
      </c>
      <c r="C28" s="20"/>
      <c r="D28" s="43" t="s">
        <v>41</v>
      </c>
      <c r="E28" s="43" t="n">
        <v>1</v>
      </c>
      <c r="F28" s="49"/>
      <c r="G28" s="49"/>
      <c r="H28" s="50" t="n">
        <v>1</v>
      </c>
      <c r="I28" s="51" t="n">
        <f aca="false">IF(SUM(F28:G29)=0,0,AVERAGE(F28:G29))</f>
        <v>0</v>
      </c>
      <c r="J28" s="48"/>
    </row>
    <row r="29" customFormat="false" ht="15" hidden="false" customHeight="true" outlineLevel="0" collapsed="false">
      <c r="A29" s="35"/>
      <c r="B29" s="43"/>
      <c r="C29" s="20"/>
      <c r="D29" s="43"/>
      <c r="E29" s="26" t="n">
        <v>2</v>
      </c>
      <c r="F29" s="27"/>
      <c r="G29" s="27"/>
      <c r="H29" s="50"/>
      <c r="I29" s="51"/>
      <c r="J29" s="48"/>
    </row>
    <row r="30" customFormat="false" ht="15" hidden="false" customHeight="true" outlineLevel="0" collapsed="false">
      <c r="A30" s="35"/>
      <c r="B30" s="52" t="s">
        <v>42</v>
      </c>
      <c r="C30" s="52" t="n">
        <v>3</v>
      </c>
      <c r="D30" s="52" t="s">
        <v>22</v>
      </c>
      <c r="E30" s="52"/>
      <c r="F30" s="53"/>
      <c r="G30" s="53"/>
      <c r="H30" s="54" t="n">
        <v>1</v>
      </c>
      <c r="I30" s="55" t="n">
        <f aca="false">F30</f>
        <v>0</v>
      </c>
      <c r="J30" s="55"/>
    </row>
    <row r="31" customFormat="false" ht="15" hidden="false" customHeight="true" outlineLevel="0" collapsed="false">
      <c r="A31" s="35"/>
      <c r="B31" s="46" t="s">
        <v>43</v>
      </c>
      <c r="C31" s="46" t="n">
        <v>1</v>
      </c>
      <c r="D31" s="46" t="s">
        <v>22</v>
      </c>
      <c r="E31" s="46"/>
      <c r="F31" s="56"/>
      <c r="G31" s="56"/>
      <c r="H31" s="46" t="n">
        <v>1</v>
      </c>
      <c r="I31" s="57" t="n">
        <f aca="false">F31</f>
        <v>0</v>
      </c>
      <c r="J31" s="57"/>
    </row>
    <row r="32" customFormat="false" ht="15" hidden="false" customHeight="true" outlineLevel="0" collapsed="false">
      <c r="A32" s="58"/>
      <c r="B32" s="59"/>
      <c r="C32" s="59"/>
      <c r="D32" s="59"/>
      <c r="E32" s="59"/>
      <c r="H32" s="60" t="s">
        <v>44</v>
      </c>
      <c r="I32" s="61" t="n">
        <f aca="false">IF(SUM(I2:J26)=0,0,(I2*C2+J13*C13+I21*C21)/(IF(I2=0,0,C2)+IF(J13=0,0,C13)+IF(I21=0,0,C21)))</f>
        <v>0</v>
      </c>
      <c r="J32" s="61"/>
    </row>
    <row r="33" customFormat="false" ht="15" hidden="false" customHeight="true" outlineLevel="0" collapsed="false">
      <c r="A33" s="58"/>
      <c r="B33" s="59"/>
      <c r="C33" s="59"/>
      <c r="D33" s="59"/>
      <c r="E33" s="59"/>
      <c r="H33" s="60" t="s">
        <v>45</v>
      </c>
      <c r="I33" s="32" t="str">
        <f aca="false">IF(SUM(I27:J31)=0,"- - -",IF(AND(OR(J27=0,J27&gt;=10),OR(I30=0,I30&gt;=10),OR(I31=0,I31&gt;=10)),"VAL","NVAL"))</f>
        <v>- - -</v>
      </c>
      <c r="J33" s="32"/>
    </row>
    <row r="34" customFormat="false" ht="15" hidden="false" customHeight="true" outlineLevel="0" collapsed="false">
      <c r="H34" s="60" t="s">
        <v>46</v>
      </c>
      <c r="I34" s="61" t="n">
        <f aca="false">IF(SUM(I2:J31)=0,0,(I2*C2+J13*C13+I21*C21+J27*C27+I30*C30+I31*C31)/(IF(I2=0,0,C2)+IF(J13=0,0,C13)+IF(I21=0,0,C21)+IF(J27=0,0,C27)+IF(I30=0,0,C30)+IF(I31=0,0,C31)))</f>
        <v>0</v>
      </c>
      <c r="J34" s="61"/>
    </row>
    <row r="35" customFormat="false" ht="15" hidden="false" customHeight="true" outlineLevel="0" collapsed="false">
      <c r="H35" s="62" t="str">
        <f aca="false">IF(I32=0,"- - -",IF(AND(I32&gt;=10,NOT(I33="NVAL")),"Semestre validé","Semestre échoué"))</f>
        <v>- - -</v>
      </c>
      <c r="I35" s="62"/>
      <c r="J35" s="62"/>
    </row>
  </sheetData>
  <mergeCells count="75">
    <mergeCell ref="A1:B1"/>
    <mergeCell ref="D1:E1"/>
    <mergeCell ref="F1:G1"/>
    <mergeCell ref="I1:J1"/>
    <mergeCell ref="A2:B10"/>
    <mergeCell ref="C2:C12"/>
    <mergeCell ref="D2:D6"/>
    <mergeCell ref="G2:G6"/>
    <mergeCell ref="H2:H6"/>
    <mergeCell ref="I2:J10"/>
    <mergeCell ref="D7:D10"/>
    <mergeCell ref="G7:G10"/>
    <mergeCell ref="H7:H10"/>
    <mergeCell ref="A11:B11"/>
    <mergeCell ref="D11:E12"/>
    <mergeCell ref="G11:G12"/>
    <mergeCell ref="H11:H12"/>
    <mergeCell ref="I11:J11"/>
    <mergeCell ref="A12:B12"/>
    <mergeCell ref="I12:J12"/>
    <mergeCell ref="A13:A20"/>
    <mergeCell ref="B13:B16"/>
    <mergeCell ref="C13:C20"/>
    <mergeCell ref="D13:E13"/>
    <mergeCell ref="F13:G13"/>
    <mergeCell ref="I13:I16"/>
    <mergeCell ref="J13:J20"/>
    <mergeCell ref="D14:D15"/>
    <mergeCell ref="F14:G14"/>
    <mergeCell ref="F15:G15"/>
    <mergeCell ref="D16:E16"/>
    <mergeCell ref="F16:G16"/>
    <mergeCell ref="B17:B20"/>
    <mergeCell ref="D17:E17"/>
    <mergeCell ref="F17:G17"/>
    <mergeCell ref="I17:I20"/>
    <mergeCell ref="D18:D19"/>
    <mergeCell ref="F18:G18"/>
    <mergeCell ref="F19:G19"/>
    <mergeCell ref="D20:E20"/>
    <mergeCell ref="F20:G20"/>
    <mergeCell ref="A21:B26"/>
    <mergeCell ref="C21:C26"/>
    <mergeCell ref="D21:E21"/>
    <mergeCell ref="F21:G21"/>
    <mergeCell ref="I21:J26"/>
    <mergeCell ref="D22:D23"/>
    <mergeCell ref="F22:G22"/>
    <mergeCell ref="F23:G23"/>
    <mergeCell ref="D24:E24"/>
    <mergeCell ref="F24:G24"/>
    <mergeCell ref="D25:D26"/>
    <mergeCell ref="G25:G26"/>
    <mergeCell ref="H25:H26"/>
    <mergeCell ref="A27:A31"/>
    <mergeCell ref="C27:C29"/>
    <mergeCell ref="D27:E27"/>
    <mergeCell ref="F27:G27"/>
    <mergeCell ref="J27:J29"/>
    <mergeCell ref="B28:B29"/>
    <mergeCell ref="D28:D29"/>
    <mergeCell ref="F28:G28"/>
    <mergeCell ref="H28:H29"/>
    <mergeCell ref="I28:I29"/>
    <mergeCell ref="F29:G29"/>
    <mergeCell ref="D30:E30"/>
    <mergeCell ref="F30:G30"/>
    <mergeCell ref="I30:J30"/>
    <mergeCell ref="D31:E31"/>
    <mergeCell ref="F31:G31"/>
    <mergeCell ref="I31:J31"/>
    <mergeCell ref="I32:J32"/>
    <mergeCell ref="I33:J33"/>
    <mergeCell ref="I34:J34"/>
    <mergeCell ref="H35:J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66796875" defaultRowHeight="15" zeroHeight="false" outlineLevelRow="0" outlineLevelCol="0"/>
  <cols>
    <col collapsed="false" customWidth="true" hidden="false" outlineLevel="0" max="1" min="1" style="63" width="3.83"/>
    <col collapsed="false" customWidth="true" hidden="false" outlineLevel="0" max="2" min="2" style="63" width="13.83"/>
    <col collapsed="false" customWidth="true" hidden="false" outlineLevel="0" max="4" min="3" style="63" width="6.83"/>
    <col collapsed="false" customWidth="true" hidden="false" outlineLevel="0" max="5" min="5" style="63" width="10.83"/>
    <col collapsed="false" customWidth="true" hidden="false" outlineLevel="0" max="7" min="6" style="63" width="5.83"/>
    <col collapsed="false" customWidth="true" hidden="false" outlineLevel="0" max="8" min="8" style="63" width="10.83"/>
    <col collapsed="false" customWidth="true" hidden="false" outlineLevel="0" max="10" min="9" style="63" width="5.83"/>
    <col collapsed="false" customWidth="false" hidden="false" outlineLevel="0" max="16384" min="11" style="63" width="10.66"/>
  </cols>
  <sheetData>
    <row r="1" customFormat="false" ht="15" hidden="false" customHeight="true" outlineLevel="0" collapsed="false">
      <c r="A1" s="15" t="s">
        <v>17</v>
      </c>
      <c r="B1" s="15"/>
      <c r="C1" s="16" t="s">
        <v>18</v>
      </c>
      <c r="D1" s="16" t="s">
        <v>19</v>
      </c>
      <c r="E1" s="16"/>
      <c r="F1" s="16" t="s">
        <v>20</v>
      </c>
      <c r="G1" s="16"/>
      <c r="H1" s="16" t="s">
        <v>21</v>
      </c>
      <c r="I1" s="64" t="s">
        <v>22</v>
      </c>
      <c r="J1" s="64"/>
    </row>
    <row r="2" customFormat="false" ht="15" hidden="false" customHeight="true" outlineLevel="0" collapsed="false">
      <c r="A2" s="19" t="s">
        <v>23</v>
      </c>
      <c r="B2" s="19"/>
      <c r="C2" s="20" t="n">
        <v>12</v>
      </c>
      <c r="D2" s="21" t="s">
        <v>24</v>
      </c>
      <c r="E2" s="22" t="n">
        <v>1</v>
      </c>
      <c r="F2" s="23"/>
      <c r="G2" s="24" t="n">
        <f aca="false">IF(COUNT(F2:F6)=1,AVERAGE(F2:F6),(SUM(F2:F6)-MIN(F2:F6))/(COUNT(F2:F6)-1))</f>
        <v>0</v>
      </c>
      <c r="H2" s="22" t="n">
        <v>0.4</v>
      </c>
      <c r="I2" s="25" t="n">
        <f aca="false">IF(SUM(F2:G12)=0,0,(G2*H2+G7*H7+G11*H11)/(IF(G2=0,0,H2)+IF(G7=0,0,H7)+IF(G11=0,0,H11)))</f>
        <v>0</v>
      </c>
      <c r="J2" s="25"/>
    </row>
    <row r="3" customFormat="false" ht="15" hidden="false" customHeight="true" outlineLevel="0" collapsed="false">
      <c r="A3" s="19"/>
      <c r="B3" s="19"/>
      <c r="C3" s="20"/>
      <c r="D3" s="21"/>
      <c r="E3" s="26" t="n">
        <v>2</v>
      </c>
      <c r="F3" s="27"/>
      <c r="G3" s="24"/>
      <c r="H3" s="22"/>
      <c r="I3" s="25"/>
      <c r="J3" s="25"/>
    </row>
    <row r="4" customFormat="false" ht="15" hidden="false" customHeight="true" outlineLevel="0" collapsed="false">
      <c r="A4" s="19"/>
      <c r="B4" s="19"/>
      <c r="C4" s="20"/>
      <c r="D4" s="21"/>
      <c r="E4" s="26" t="n">
        <v>3</v>
      </c>
      <c r="F4" s="27"/>
      <c r="G4" s="24"/>
      <c r="H4" s="22"/>
      <c r="I4" s="25"/>
      <c r="J4" s="25"/>
    </row>
    <row r="5" customFormat="false" ht="15" hidden="false" customHeight="true" outlineLevel="0" collapsed="false">
      <c r="A5" s="19"/>
      <c r="B5" s="19"/>
      <c r="C5" s="20"/>
      <c r="D5" s="21"/>
      <c r="E5" s="26" t="n">
        <v>4</v>
      </c>
      <c r="F5" s="27"/>
      <c r="G5" s="24"/>
      <c r="H5" s="22"/>
      <c r="I5" s="25"/>
      <c r="J5" s="25"/>
    </row>
    <row r="6" customFormat="false" ht="15" hidden="false" customHeight="true" outlineLevel="0" collapsed="false">
      <c r="A6" s="19"/>
      <c r="B6" s="19"/>
      <c r="C6" s="20"/>
      <c r="D6" s="21"/>
      <c r="E6" s="26" t="n">
        <v>5</v>
      </c>
      <c r="F6" s="27"/>
      <c r="G6" s="24"/>
      <c r="H6" s="22"/>
      <c r="I6" s="25"/>
      <c r="J6" s="25"/>
    </row>
    <row r="7" customFormat="false" ht="15" hidden="false" customHeight="true" outlineLevel="0" collapsed="false">
      <c r="A7" s="19"/>
      <c r="B7" s="19"/>
      <c r="C7" s="20"/>
      <c r="D7" s="28" t="s">
        <v>25</v>
      </c>
      <c r="E7" s="26" t="n">
        <v>1</v>
      </c>
      <c r="F7" s="27"/>
      <c r="G7" s="29" t="n">
        <f aca="false">IF(COUNT(F7:F10)=1,AVERAGE(F7:F10),(SUM(F7:F10)-MIN(F7:F10))/(COUNT(F7:F10)-1))</f>
        <v>0</v>
      </c>
      <c r="H7" s="26" t="n">
        <v>0.3</v>
      </c>
      <c r="I7" s="25"/>
      <c r="J7" s="25"/>
    </row>
    <row r="8" customFormat="false" ht="15" hidden="false" customHeight="true" outlineLevel="0" collapsed="false">
      <c r="A8" s="19"/>
      <c r="B8" s="19"/>
      <c r="C8" s="20"/>
      <c r="D8" s="28"/>
      <c r="E8" s="26" t="n">
        <v>2</v>
      </c>
      <c r="F8" s="27"/>
      <c r="G8" s="29"/>
      <c r="H8" s="26"/>
      <c r="I8" s="25"/>
      <c r="J8" s="25"/>
    </row>
    <row r="9" customFormat="false" ht="15" hidden="false" customHeight="true" outlineLevel="0" collapsed="false">
      <c r="A9" s="19"/>
      <c r="B9" s="19"/>
      <c r="C9" s="20"/>
      <c r="D9" s="28"/>
      <c r="E9" s="26" t="n">
        <v>3</v>
      </c>
      <c r="F9" s="27"/>
      <c r="G9" s="29"/>
      <c r="H9" s="26"/>
      <c r="I9" s="25"/>
      <c r="J9" s="25"/>
    </row>
    <row r="10" customFormat="false" ht="15" hidden="false" customHeight="true" outlineLevel="0" collapsed="false">
      <c r="A10" s="19"/>
      <c r="B10" s="19"/>
      <c r="C10" s="20"/>
      <c r="D10" s="28"/>
      <c r="E10" s="26" t="n">
        <v>4</v>
      </c>
      <c r="F10" s="27"/>
      <c r="G10" s="29"/>
      <c r="H10" s="26"/>
      <c r="I10" s="25"/>
      <c r="J10" s="25"/>
    </row>
    <row r="11" customFormat="false" ht="15" hidden="false" customHeight="true" outlineLevel="0" collapsed="false">
      <c r="A11" s="26" t="s">
        <v>26</v>
      </c>
      <c r="B11" s="26"/>
      <c r="C11" s="20"/>
      <c r="D11" s="30" t="s">
        <v>27</v>
      </c>
      <c r="E11" s="30"/>
      <c r="F11" s="31"/>
      <c r="G11" s="29" t="n">
        <f aca="false">IF(COUNT(F11:F12)=0,0,AVERAGE(F11:F12))</f>
        <v>0</v>
      </c>
      <c r="H11" s="30" t="n">
        <v>0.3</v>
      </c>
      <c r="I11" s="32" t="n">
        <f aca="false">IF(SUM(F2:G10)+F11=0,0,(G2*H2+G7*H7+F11*H11)/(IF(G2=0,0,H2)+IF(G7=0,0,H7)+IF(F11=0,0,H11)))</f>
        <v>0</v>
      </c>
      <c r="J11" s="32"/>
    </row>
    <row r="12" customFormat="false" ht="15" hidden="false" customHeight="true" outlineLevel="0" collapsed="false">
      <c r="A12" s="26" t="s">
        <v>28</v>
      </c>
      <c r="B12" s="26"/>
      <c r="C12" s="20"/>
      <c r="D12" s="30"/>
      <c r="E12" s="30"/>
      <c r="F12" s="33"/>
      <c r="G12" s="29"/>
      <c r="H12" s="30"/>
      <c r="I12" s="34" t="n">
        <f aca="false">IF(SUM(F2:G10)+F12=0,0,(G2*H2+G7*H7+F12*H11)/(IF(G2=0,0,H2)+IF(G7=0,0,H7)+IF(F12=0,0,H11)))</f>
        <v>0</v>
      </c>
      <c r="J12" s="34"/>
    </row>
    <row r="13" customFormat="false" ht="15" hidden="false" customHeight="true" outlineLevel="0" collapsed="false">
      <c r="A13" s="15" t="s">
        <v>47</v>
      </c>
      <c r="B13" s="15"/>
      <c r="C13" s="16" t="n">
        <v>6</v>
      </c>
      <c r="D13" s="21" t="s">
        <v>48</v>
      </c>
      <c r="E13" s="22" t="n">
        <v>1</v>
      </c>
      <c r="F13" s="23"/>
      <c r="G13" s="24" t="n">
        <f aca="false">IF(COUNT(F13:F17)=1,AVERAGE(F13:F17),(SUM(F13:F17)-MIN(F13:F17))/(COUNT(F13:F17)-1))</f>
        <v>0</v>
      </c>
      <c r="H13" s="22" t="n">
        <v>0.2</v>
      </c>
      <c r="I13" s="18" t="n">
        <f aca="false">IF(SUM(F13:F17,F18:G19)=0,0,(G13*H13+F18*H18+F19*H19)/(IF(G13=0,0,H13)+IF(F18=0,0,H18)+IF(F19=0,0,H19)))</f>
        <v>0</v>
      </c>
      <c r="J13" s="18"/>
    </row>
    <row r="14" customFormat="false" ht="15" hidden="false" customHeight="true" outlineLevel="0" collapsed="false">
      <c r="A14" s="15"/>
      <c r="B14" s="15"/>
      <c r="C14" s="16"/>
      <c r="D14" s="21"/>
      <c r="E14" s="26" t="n">
        <v>2</v>
      </c>
      <c r="F14" s="27"/>
      <c r="G14" s="24"/>
      <c r="H14" s="22"/>
      <c r="I14" s="18"/>
      <c r="J14" s="18"/>
    </row>
    <row r="15" customFormat="false" ht="15" hidden="false" customHeight="true" outlineLevel="0" collapsed="false">
      <c r="A15" s="15"/>
      <c r="B15" s="15"/>
      <c r="C15" s="16"/>
      <c r="D15" s="21"/>
      <c r="E15" s="26" t="n">
        <v>3</v>
      </c>
      <c r="F15" s="27"/>
      <c r="G15" s="24"/>
      <c r="H15" s="22"/>
      <c r="I15" s="18"/>
      <c r="J15" s="18"/>
    </row>
    <row r="16" customFormat="false" ht="15" hidden="false" customHeight="true" outlineLevel="0" collapsed="false">
      <c r="A16" s="15"/>
      <c r="B16" s="15"/>
      <c r="C16" s="16"/>
      <c r="D16" s="21"/>
      <c r="E16" s="26" t="n">
        <v>4</v>
      </c>
      <c r="F16" s="27"/>
      <c r="G16" s="24"/>
      <c r="H16" s="22"/>
      <c r="I16" s="18"/>
      <c r="J16" s="18"/>
    </row>
    <row r="17" customFormat="false" ht="15" hidden="false" customHeight="true" outlineLevel="0" collapsed="false">
      <c r="A17" s="15"/>
      <c r="B17" s="15"/>
      <c r="C17" s="16"/>
      <c r="D17" s="21"/>
      <c r="E17" s="26" t="n">
        <v>5</v>
      </c>
      <c r="F17" s="27"/>
      <c r="G17" s="24"/>
      <c r="H17" s="22"/>
      <c r="I17" s="18"/>
      <c r="J17" s="18"/>
    </row>
    <row r="18" customFormat="false" ht="15" hidden="false" customHeight="true" outlineLevel="0" collapsed="false">
      <c r="A18" s="15"/>
      <c r="B18" s="15"/>
      <c r="C18" s="16"/>
      <c r="D18" s="65" t="s">
        <v>27</v>
      </c>
      <c r="E18" s="26" t="n">
        <v>1</v>
      </c>
      <c r="F18" s="27"/>
      <c r="G18" s="27"/>
      <c r="H18" s="26" t="n">
        <v>0.4</v>
      </c>
      <c r="I18" s="18"/>
      <c r="J18" s="18"/>
    </row>
    <row r="19" customFormat="false" ht="15" hidden="false" customHeight="true" outlineLevel="0" collapsed="false">
      <c r="A19" s="15"/>
      <c r="B19" s="15"/>
      <c r="C19" s="16"/>
      <c r="D19" s="65"/>
      <c r="E19" s="30" t="n">
        <v>2</v>
      </c>
      <c r="F19" s="45"/>
      <c r="G19" s="45"/>
      <c r="H19" s="30" t="n">
        <v>0.4</v>
      </c>
      <c r="I19" s="18"/>
      <c r="J19" s="18"/>
    </row>
    <row r="20" customFormat="false" ht="15" hidden="false" customHeight="true" outlineLevel="0" collapsed="false">
      <c r="A20" s="35" t="s">
        <v>29</v>
      </c>
      <c r="B20" s="36" t="s">
        <v>30</v>
      </c>
      <c r="C20" s="16" t="n">
        <v>6</v>
      </c>
      <c r="D20" s="22" t="s">
        <v>31</v>
      </c>
      <c r="E20" s="22"/>
      <c r="F20" s="23"/>
      <c r="G20" s="23"/>
      <c r="H20" s="22" t="n">
        <v>0.1</v>
      </c>
      <c r="I20" s="37" t="n">
        <f aca="false">IF(SUM(F20:G23)=0,0,(F20*H20+F21*H21+F22*H22+F23*H23)/(IF(F20=0,0,H20)+IF(F21=0,0,H21)+IF(F22=0,0,H22)+IF(F23=0,0,H23)))</f>
        <v>0</v>
      </c>
      <c r="J20" s="18" t="n">
        <f aca="false">IF(SUM(F20:G27)=0,0,(I20+I24)/(IF(I20=0,0,1)+IF(I24=0,0,1)))</f>
        <v>0</v>
      </c>
    </row>
    <row r="21" customFormat="false" ht="15" hidden="false" customHeight="true" outlineLevel="0" collapsed="false">
      <c r="A21" s="35"/>
      <c r="B21" s="36"/>
      <c r="C21" s="36"/>
      <c r="D21" s="26" t="s">
        <v>25</v>
      </c>
      <c r="E21" s="26" t="n">
        <v>1</v>
      </c>
      <c r="F21" s="27"/>
      <c r="G21" s="27"/>
      <c r="H21" s="26" t="n">
        <v>0.2</v>
      </c>
      <c r="I21" s="37"/>
      <c r="J21" s="18"/>
    </row>
    <row r="22" customFormat="false" ht="15" hidden="false" customHeight="true" outlineLevel="0" collapsed="false">
      <c r="A22" s="35"/>
      <c r="B22" s="36"/>
      <c r="C22" s="36"/>
      <c r="D22" s="36"/>
      <c r="E22" s="26" t="n">
        <v>2</v>
      </c>
      <c r="F22" s="27"/>
      <c r="G22" s="27"/>
      <c r="H22" s="26" t="n">
        <v>0.3</v>
      </c>
      <c r="I22" s="37"/>
      <c r="J22" s="18"/>
    </row>
    <row r="23" customFormat="false" ht="15" hidden="false" customHeight="true" outlineLevel="0" collapsed="false">
      <c r="A23" s="35"/>
      <c r="B23" s="36"/>
      <c r="C23" s="16"/>
      <c r="D23" s="38" t="s">
        <v>27</v>
      </c>
      <c r="E23" s="38"/>
      <c r="F23" s="39"/>
      <c r="G23" s="39"/>
      <c r="H23" s="38" t="n">
        <v>0.4</v>
      </c>
      <c r="I23" s="37"/>
      <c r="J23" s="18"/>
    </row>
    <row r="24" customFormat="false" ht="15" hidden="false" customHeight="true" outlineLevel="0" collapsed="false">
      <c r="A24" s="35"/>
      <c r="B24" s="40" t="s">
        <v>32</v>
      </c>
      <c r="C24" s="16"/>
      <c r="D24" s="41" t="s">
        <v>31</v>
      </c>
      <c r="E24" s="41"/>
      <c r="F24" s="42"/>
      <c r="G24" s="42"/>
      <c r="H24" s="43" t="n">
        <v>0.1</v>
      </c>
      <c r="I24" s="44" t="n">
        <f aca="false">IF(SUM(F24:G27)=0,0,(F24*H24+F25*H25+F26*H26+F27*H27)/(IF(F24=0,0,H24)+IF(F25=0,0,H25)+IF(F26=0,0,H26)+IF(F27=0,0,H27)))</f>
        <v>0</v>
      </c>
      <c r="J24" s="18"/>
    </row>
    <row r="25" customFormat="false" ht="15" hidden="false" customHeight="true" outlineLevel="0" collapsed="false">
      <c r="A25" s="35"/>
      <c r="B25" s="40"/>
      <c r="C25" s="16"/>
      <c r="D25" s="26" t="s">
        <v>25</v>
      </c>
      <c r="E25" s="26" t="n">
        <v>1</v>
      </c>
      <c r="F25" s="27"/>
      <c r="G25" s="27"/>
      <c r="H25" s="26" t="n">
        <v>0.2</v>
      </c>
      <c r="I25" s="44"/>
      <c r="J25" s="18"/>
    </row>
    <row r="26" customFormat="false" ht="15" hidden="false" customHeight="true" outlineLevel="0" collapsed="false">
      <c r="A26" s="35"/>
      <c r="B26" s="40"/>
      <c r="C26" s="16"/>
      <c r="D26" s="26"/>
      <c r="E26" s="26" t="n">
        <v>2</v>
      </c>
      <c r="F26" s="27"/>
      <c r="G26" s="27"/>
      <c r="H26" s="26" t="n">
        <v>0.3</v>
      </c>
      <c r="I26" s="44"/>
      <c r="J26" s="18"/>
    </row>
    <row r="27" customFormat="false" ht="15" hidden="false" customHeight="true" outlineLevel="0" collapsed="false">
      <c r="A27" s="35"/>
      <c r="B27" s="40"/>
      <c r="C27" s="16"/>
      <c r="D27" s="30" t="s">
        <v>27</v>
      </c>
      <c r="E27" s="30"/>
      <c r="F27" s="45"/>
      <c r="G27" s="45"/>
      <c r="H27" s="30" t="n">
        <v>0.4</v>
      </c>
      <c r="I27" s="44"/>
      <c r="J27" s="18"/>
    </row>
    <row r="28" customFormat="false" ht="15" hidden="false" customHeight="true" outlineLevel="0" collapsed="false">
      <c r="A28" s="35" t="s">
        <v>38</v>
      </c>
      <c r="B28" s="22" t="s">
        <v>39</v>
      </c>
      <c r="C28" s="36" t="n">
        <v>2</v>
      </c>
      <c r="D28" s="22" t="s">
        <v>22</v>
      </c>
      <c r="E28" s="22"/>
      <c r="F28" s="23"/>
      <c r="G28" s="23"/>
      <c r="H28" s="22" t="n">
        <v>1</v>
      </c>
      <c r="I28" s="24" t="n">
        <f aca="false">F28</f>
        <v>0</v>
      </c>
      <c r="J28" s="66" t="n">
        <f aca="false">IF(SUM(F28:G31)=0,0,(I28+I29)/(IF(I28=0,0,1)+IF(I29=0,0,1)))</f>
        <v>0</v>
      </c>
    </row>
    <row r="29" customFormat="false" ht="15" hidden="false" customHeight="true" outlineLevel="0" collapsed="false">
      <c r="A29" s="35"/>
      <c r="B29" s="67" t="s">
        <v>40</v>
      </c>
      <c r="C29" s="36"/>
      <c r="D29" s="43" t="s">
        <v>49</v>
      </c>
      <c r="E29" s="43"/>
      <c r="F29" s="49"/>
      <c r="G29" s="49"/>
      <c r="H29" s="68" t="n">
        <v>0.4</v>
      </c>
      <c r="I29" s="69" t="n">
        <f aca="false">IF(SUM(F29:G31)=0,0,(F29*H29+F30*H30+F31*H31)/(IF(F29=0,0,H29)+IF(F30=0,0,H30)+IF(F31=0,0,H31)))</f>
        <v>0</v>
      </c>
      <c r="J29" s="66"/>
    </row>
    <row r="30" customFormat="false" ht="15" hidden="false" customHeight="true" outlineLevel="0" collapsed="false">
      <c r="A30" s="35"/>
      <c r="B30" s="67"/>
      <c r="C30" s="67"/>
      <c r="D30" s="26" t="s">
        <v>50</v>
      </c>
      <c r="E30" s="26"/>
      <c r="F30" s="27"/>
      <c r="G30" s="27"/>
      <c r="H30" s="70" t="n">
        <v>0.2</v>
      </c>
      <c r="I30" s="69"/>
      <c r="J30" s="66"/>
    </row>
    <row r="31" customFormat="false" ht="15" hidden="false" customHeight="true" outlineLevel="0" collapsed="false">
      <c r="A31" s="35"/>
      <c r="B31" s="67"/>
      <c r="C31" s="67"/>
      <c r="D31" s="38" t="s">
        <v>51</v>
      </c>
      <c r="E31" s="38"/>
      <c r="F31" s="39"/>
      <c r="G31" s="39"/>
      <c r="H31" s="71" t="n">
        <v>0.4</v>
      </c>
      <c r="I31" s="69"/>
      <c r="J31" s="66"/>
    </row>
    <row r="32" customFormat="false" ht="15" hidden="false" customHeight="true" outlineLevel="0" collapsed="false">
      <c r="A32" s="35"/>
      <c r="B32" s="41" t="s">
        <v>42</v>
      </c>
      <c r="C32" s="41" t="n">
        <v>1</v>
      </c>
      <c r="D32" s="72" t="s">
        <v>52</v>
      </c>
      <c r="E32" s="41" t="n">
        <v>1</v>
      </c>
      <c r="F32" s="42"/>
      <c r="G32" s="42"/>
      <c r="H32" s="68" t="n">
        <v>0.2</v>
      </c>
      <c r="I32" s="73" t="n">
        <f aca="false">IF(SUM(F32:G36)=0,0,AVERAGE(F32:G36))</f>
        <v>0</v>
      </c>
      <c r="J32" s="73"/>
    </row>
    <row r="33" customFormat="false" ht="15" hidden="false" customHeight="true" outlineLevel="0" collapsed="false">
      <c r="A33" s="35"/>
      <c r="B33" s="41"/>
      <c r="C33" s="41"/>
      <c r="D33" s="72"/>
      <c r="E33" s="26" t="n">
        <v>2</v>
      </c>
      <c r="F33" s="27"/>
      <c r="G33" s="27"/>
      <c r="H33" s="68" t="n">
        <v>0.2</v>
      </c>
      <c r="I33" s="73"/>
      <c r="J33" s="73"/>
    </row>
    <row r="34" customFormat="false" ht="15" hidden="false" customHeight="true" outlineLevel="0" collapsed="false">
      <c r="A34" s="35"/>
      <c r="B34" s="41"/>
      <c r="C34" s="41"/>
      <c r="D34" s="72"/>
      <c r="E34" s="26" t="n">
        <v>3</v>
      </c>
      <c r="F34" s="27"/>
      <c r="G34" s="27"/>
      <c r="H34" s="68" t="n">
        <v>0.2</v>
      </c>
      <c r="I34" s="73"/>
      <c r="J34" s="73"/>
    </row>
    <row r="35" customFormat="false" ht="15" hidden="false" customHeight="true" outlineLevel="0" collapsed="false">
      <c r="A35" s="35"/>
      <c r="B35" s="41"/>
      <c r="C35" s="41"/>
      <c r="D35" s="72"/>
      <c r="E35" s="26" t="n">
        <v>4</v>
      </c>
      <c r="F35" s="27"/>
      <c r="G35" s="27"/>
      <c r="H35" s="68" t="n">
        <v>0.2</v>
      </c>
      <c r="I35" s="73"/>
      <c r="J35" s="73"/>
    </row>
    <row r="36" customFormat="false" ht="15" hidden="false" customHeight="true" outlineLevel="0" collapsed="false">
      <c r="A36" s="35"/>
      <c r="B36" s="41"/>
      <c r="C36" s="41"/>
      <c r="D36" s="72"/>
      <c r="E36" s="26" t="n">
        <v>5</v>
      </c>
      <c r="F36" s="27"/>
      <c r="G36" s="27"/>
      <c r="H36" s="68" t="n">
        <v>0.2</v>
      </c>
      <c r="I36" s="73"/>
      <c r="J36" s="73"/>
    </row>
    <row r="37" customFormat="false" ht="15" hidden="false" customHeight="true" outlineLevel="0" collapsed="false">
      <c r="A37" s="35"/>
      <c r="B37" s="52" t="s">
        <v>53</v>
      </c>
      <c r="C37" s="52" t="n">
        <v>2</v>
      </c>
      <c r="D37" s="52" t="s">
        <v>22</v>
      </c>
      <c r="E37" s="52"/>
      <c r="F37" s="53"/>
      <c r="G37" s="53"/>
      <c r="H37" s="52" t="n">
        <v>1</v>
      </c>
      <c r="I37" s="55" t="n">
        <f aca="false">F37</f>
        <v>0</v>
      </c>
      <c r="J37" s="55"/>
    </row>
    <row r="38" customFormat="false" ht="15" hidden="false" customHeight="true" outlineLevel="0" collapsed="false">
      <c r="A38" s="35"/>
      <c r="B38" s="46" t="s">
        <v>43</v>
      </c>
      <c r="C38" s="74" t="n">
        <v>1</v>
      </c>
      <c r="D38" s="46" t="s">
        <v>22</v>
      </c>
      <c r="E38" s="46"/>
      <c r="F38" s="56"/>
      <c r="G38" s="56"/>
      <c r="H38" s="74" t="n">
        <v>1</v>
      </c>
      <c r="I38" s="75" t="n">
        <f aca="false">F38</f>
        <v>0</v>
      </c>
      <c r="J38" s="75"/>
    </row>
    <row r="39" customFormat="false" ht="15" hidden="false" customHeight="true" outlineLevel="0" collapsed="false">
      <c r="A39" s="58"/>
      <c r="B39" s="59"/>
      <c r="C39" s="76"/>
      <c r="D39" s="59"/>
      <c r="E39" s="59"/>
      <c r="F39" s="13"/>
      <c r="G39" s="13"/>
      <c r="H39" s="60" t="s">
        <v>44</v>
      </c>
      <c r="I39" s="61" t="n">
        <f aca="false">IF(SUM(I2:J27)=0,0,(I2*C2+I13*C13+J20*C20)/(IF(I2=0,0,C2)+IF(I13=0,0,C13)+IF(J20=0,0,C20)))</f>
        <v>0</v>
      </c>
      <c r="J39" s="61"/>
    </row>
    <row r="40" customFormat="false" ht="15" hidden="false" customHeight="true" outlineLevel="0" collapsed="false">
      <c r="A40" s="58"/>
      <c r="B40" s="59"/>
      <c r="C40" s="76"/>
      <c r="D40" s="59"/>
      <c r="E40" s="59"/>
      <c r="F40" s="13"/>
      <c r="G40" s="13"/>
      <c r="H40" s="60" t="s">
        <v>45</v>
      </c>
      <c r="I40" s="32" t="str">
        <f aca="false">IF(SUM(I28:J38)=0,"- - -",IF(AND(OR(J28=0,J28&gt;=10),OR(I32=0,I32&gt;=10),OR(I37=0,I37&gt;=10),OR(I38=0,I38&gt;=10)),"VAL","NVAL"))</f>
        <v>- - -</v>
      </c>
      <c r="J40" s="32"/>
    </row>
    <row r="41" customFormat="false" ht="15" hidden="false" customHeight="true" outlineLevel="0" collapsed="false">
      <c r="A41" s="13"/>
      <c r="B41" s="13"/>
      <c r="C41" s="13"/>
      <c r="D41" s="13"/>
      <c r="E41" s="13"/>
      <c r="F41" s="13"/>
      <c r="G41" s="13"/>
      <c r="H41" s="60" t="s">
        <v>46</v>
      </c>
      <c r="I41" s="61" t="n">
        <f aca="false">IF(SUM(I2:J38)=0,0,(I2*C2+I13*C13+J20*C20+J28*C28+I32*C32+I37*C37+I38*C38)/(IF(I2=0,0,C2)+IF(I13=0,0,C13)+IF(J20=0,0,C20)+IF(J28=0,0,C28)+IF(I32=0,0,C32)+IF(I37=0,0,C37)+IF(I38=0,0,C38)))</f>
        <v>0</v>
      </c>
      <c r="J41" s="61"/>
    </row>
    <row r="42" customFormat="false" ht="15" hidden="false" customHeight="true" outlineLevel="0" collapsed="false">
      <c r="A42" s="13"/>
      <c r="B42" s="13"/>
      <c r="C42" s="13"/>
      <c r="D42" s="13"/>
      <c r="E42" s="13"/>
      <c r="F42" s="13"/>
      <c r="G42" s="13"/>
      <c r="H42" s="62" t="str">
        <f aca="false">IF(I39=0,"- - -",IF(AND(I39&gt;=10,NOT(I40="NVAL")),"Semestre validé","Semestre échoué"))</f>
        <v>- - -</v>
      </c>
      <c r="I42" s="62"/>
      <c r="J42" s="62"/>
    </row>
    <row r="47" customFormat="false" ht="15" hidden="false" customHeight="true" outlineLevel="0" collapsed="false">
      <c r="G47" s="63" t="s">
        <v>54</v>
      </c>
    </row>
  </sheetData>
  <mergeCells count="82">
    <mergeCell ref="A1:B1"/>
    <mergeCell ref="D1:E1"/>
    <mergeCell ref="F1:G1"/>
    <mergeCell ref="I1:J1"/>
    <mergeCell ref="A2:B10"/>
    <mergeCell ref="C2:C12"/>
    <mergeCell ref="D2:D6"/>
    <mergeCell ref="G2:G6"/>
    <mergeCell ref="H2:H6"/>
    <mergeCell ref="I2:J10"/>
    <mergeCell ref="D7:D10"/>
    <mergeCell ref="G7:G10"/>
    <mergeCell ref="H7:H10"/>
    <mergeCell ref="A11:B11"/>
    <mergeCell ref="D11:E12"/>
    <mergeCell ref="G11:G12"/>
    <mergeCell ref="H11:H12"/>
    <mergeCell ref="I11:J11"/>
    <mergeCell ref="A12:B12"/>
    <mergeCell ref="I12:J12"/>
    <mergeCell ref="A13:B19"/>
    <mergeCell ref="C13:C19"/>
    <mergeCell ref="D13:D17"/>
    <mergeCell ref="G13:G17"/>
    <mergeCell ref="H13:H17"/>
    <mergeCell ref="I13:J19"/>
    <mergeCell ref="D18:D19"/>
    <mergeCell ref="F18:G18"/>
    <mergeCell ref="F19:G19"/>
    <mergeCell ref="A20:A27"/>
    <mergeCell ref="B20:B23"/>
    <mergeCell ref="C20:C27"/>
    <mergeCell ref="D20:E20"/>
    <mergeCell ref="F20:G20"/>
    <mergeCell ref="I20:I23"/>
    <mergeCell ref="J20:J27"/>
    <mergeCell ref="D21:D22"/>
    <mergeCell ref="F21:G21"/>
    <mergeCell ref="F22:G22"/>
    <mergeCell ref="D23:E23"/>
    <mergeCell ref="F23:G23"/>
    <mergeCell ref="B24:B27"/>
    <mergeCell ref="D24:E24"/>
    <mergeCell ref="F24:G24"/>
    <mergeCell ref="I24:I27"/>
    <mergeCell ref="D25:D26"/>
    <mergeCell ref="F25:G25"/>
    <mergeCell ref="F26:G26"/>
    <mergeCell ref="D27:E27"/>
    <mergeCell ref="F27:G27"/>
    <mergeCell ref="A28:A38"/>
    <mergeCell ref="C28:C31"/>
    <mergeCell ref="D28:E28"/>
    <mergeCell ref="F28:G28"/>
    <mergeCell ref="J28:J31"/>
    <mergeCell ref="B29:B31"/>
    <mergeCell ref="D29:E29"/>
    <mergeCell ref="F29:G29"/>
    <mergeCell ref="I29:I31"/>
    <mergeCell ref="D30:E30"/>
    <mergeCell ref="F30:G30"/>
    <mergeCell ref="D31:E31"/>
    <mergeCell ref="F31:G31"/>
    <mergeCell ref="B32:B36"/>
    <mergeCell ref="C32:C36"/>
    <mergeCell ref="D32:D36"/>
    <mergeCell ref="F32:G32"/>
    <mergeCell ref="I32:J36"/>
    <mergeCell ref="F33:G33"/>
    <mergeCell ref="F34:G34"/>
    <mergeCell ref="F35:G35"/>
    <mergeCell ref="F36:G36"/>
    <mergeCell ref="D37:E37"/>
    <mergeCell ref="F37:G37"/>
    <mergeCell ref="I37:J37"/>
    <mergeCell ref="D38:E38"/>
    <mergeCell ref="F38:G38"/>
    <mergeCell ref="I38:J38"/>
    <mergeCell ref="I39:J39"/>
    <mergeCell ref="I40:J40"/>
    <mergeCell ref="I41:J41"/>
    <mergeCell ref="H42:J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6796875" defaultRowHeight="15" zeroHeight="false" outlineLevelRow="0" outlineLevelCol="0"/>
  <cols>
    <col collapsed="false" customWidth="true" hidden="false" outlineLevel="0" max="1" min="1" style="13" width="3.83"/>
    <col collapsed="false" customWidth="true" hidden="false" outlineLevel="0" max="2" min="2" style="13" width="13.83"/>
    <col collapsed="false" customWidth="true" hidden="false" outlineLevel="0" max="4" min="3" style="13" width="6.83"/>
    <col collapsed="false" customWidth="true" hidden="false" outlineLevel="0" max="5" min="5" style="13" width="10.83"/>
    <col collapsed="false" customWidth="true" hidden="false" outlineLevel="0" max="7" min="6" style="14" width="5.83"/>
    <col collapsed="false" customWidth="true" hidden="false" outlineLevel="0" max="8" min="8" style="14" width="5.51"/>
    <col collapsed="false" customWidth="true" hidden="false" outlineLevel="0" max="9" min="9" style="13" width="5.33"/>
    <col collapsed="false" customWidth="true" hidden="false" outlineLevel="0" max="11" min="10" style="14" width="5.83"/>
    <col collapsed="false" customWidth="false" hidden="false" outlineLevel="0" max="16384" min="12" style="13" width="8.67"/>
  </cols>
  <sheetData>
    <row r="1" customFormat="false" ht="15" hidden="false" customHeight="true" outlineLevel="0" collapsed="false">
      <c r="A1" s="15" t="s">
        <v>17</v>
      </c>
      <c r="B1" s="15"/>
      <c r="C1" s="16" t="s">
        <v>18</v>
      </c>
      <c r="D1" s="16" t="s">
        <v>19</v>
      </c>
      <c r="E1" s="16"/>
      <c r="F1" s="17" t="s">
        <v>20</v>
      </c>
      <c r="G1" s="17"/>
      <c r="H1" s="16" t="s">
        <v>21</v>
      </c>
      <c r="I1" s="16"/>
      <c r="J1" s="18" t="s">
        <v>22</v>
      </c>
      <c r="K1" s="18"/>
    </row>
    <row r="2" customFormat="false" ht="15" hidden="false" customHeight="true" outlineLevel="0" collapsed="false">
      <c r="A2" s="26" t="s">
        <v>23</v>
      </c>
      <c r="B2" s="26"/>
      <c r="C2" s="16" t="n">
        <v>12</v>
      </c>
      <c r="D2" s="21" t="s">
        <v>24</v>
      </c>
      <c r="E2" s="43" t="n">
        <v>1</v>
      </c>
      <c r="F2" s="49"/>
      <c r="G2" s="24" t="n">
        <f aca="false">IF(COUNT(F2:F6)=1,AVERAGE(F2:F6),(SUM(F2:F6)-MIN(F2:F6))/(COUNT(F2:F6)-1))</f>
        <v>0</v>
      </c>
      <c r="H2" s="22" t="n">
        <v>0.3</v>
      </c>
      <c r="I2" s="22"/>
      <c r="J2" s="25" t="n">
        <f aca="false">IF(SUM(F2:G12)=0,0,(G2*H2+G7*H7+G11*H11)/(IF(G2=0,0,H2)+IF(G7=0,0,H7)+IF(G11=0,0,H11)))</f>
        <v>0</v>
      </c>
      <c r="K2" s="25"/>
    </row>
    <row r="3" customFormat="false" ht="15" hidden="false" customHeight="true" outlineLevel="0" collapsed="false">
      <c r="A3" s="26"/>
      <c r="B3" s="26"/>
      <c r="C3" s="16"/>
      <c r="D3" s="21"/>
      <c r="E3" s="26" t="n">
        <v>2</v>
      </c>
      <c r="F3" s="27"/>
      <c r="G3" s="24"/>
      <c r="H3" s="22"/>
      <c r="I3" s="22"/>
      <c r="J3" s="25"/>
      <c r="K3" s="25"/>
    </row>
    <row r="4" customFormat="false" ht="15" hidden="false" customHeight="true" outlineLevel="0" collapsed="false">
      <c r="A4" s="26"/>
      <c r="B4" s="26"/>
      <c r="C4" s="16"/>
      <c r="D4" s="21"/>
      <c r="E4" s="26" t="n">
        <v>3</v>
      </c>
      <c r="F4" s="27"/>
      <c r="G4" s="24"/>
      <c r="H4" s="22"/>
      <c r="I4" s="22"/>
      <c r="J4" s="25"/>
      <c r="K4" s="25"/>
    </row>
    <row r="5" customFormat="false" ht="15" hidden="false" customHeight="true" outlineLevel="0" collapsed="false">
      <c r="A5" s="26"/>
      <c r="B5" s="26"/>
      <c r="C5" s="16"/>
      <c r="D5" s="21"/>
      <c r="E5" s="26" t="n">
        <v>4</v>
      </c>
      <c r="F5" s="27"/>
      <c r="G5" s="24"/>
      <c r="H5" s="22"/>
      <c r="I5" s="22"/>
      <c r="J5" s="25"/>
      <c r="K5" s="25"/>
    </row>
    <row r="6" customFormat="false" ht="15" hidden="false" customHeight="true" outlineLevel="0" collapsed="false">
      <c r="A6" s="26"/>
      <c r="B6" s="26"/>
      <c r="C6" s="16"/>
      <c r="D6" s="21"/>
      <c r="E6" s="26" t="n">
        <v>5</v>
      </c>
      <c r="F6" s="27"/>
      <c r="G6" s="24"/>
      <c r="H6" s="22"/>
      <c r="I6" s="22"/>
      <c r="J6" s="25"/>
      <c r="K6" s="25"/>
    </row>
    <row r="7" customFormat="false" ht="15" hidden="false" customHeight="true" outlineLevel="0" collapsed="false">
      <c r="A7" s="26"/>
      <c r="B7" s="26"/>
      <c r="C7" s="16"/>
      <c r="D7" s="77" t="s">
        <v>25</v>
      </c>
      <c r="E7" s="26" t="n">
        <v>1</v>
      </c>
      <c r="F7" s="27"/>
      <c r="G7" s="29" t="n">
        <f aca="false">IF(COUNT(F7:F10)=0,0,AVERAGE(F7:F10))</f>
        <v>0</v>
      </c>
      <c r="H7" s="26" t="n">
        <v>0.3</v>
      </c>
      <c r="I7" s="26"/>
      <c r="J7" s="25"/>
      <c r="K7" s="25"/>
    </row>
    <row r="8" customFormat="false" ht="15" hidden="false" customHeight="true" outlineLevel="0" collapsed="false">
      <c r="A8" s="26"/>
      <c r="B8" s="26"/>
      <c r="C8" s="16"/>
      <c r="D8" s="77"/>
      <c r="E8" s="26" t="n">
        <v>2</v>
      </c>
      <c r="F8" s="27"/>
      <c r="G8" s="29"/>
      <c r="H8" s="26"/>
      <c r="I8" s="26"/>
      <c r="J8" s="25"/>
      <c r="K8" s="25"/>
    </row>
    <row r="9" customFormat="false" ht="15" hidden="false" customHeight="true" outlineLevel="0" collapsed="false">
      <c r="A9" s="26"/>
      <c r="B9" s="26"/>
      <c r="C9" s="16"/>
      <c r="D9" s="77"/>
      <c r="E9" s="26" t="n">
        <v>3</v>
      </c>
      <c r="F9" s="27"/>
      <c r="G9" s="29"/>
      <c r="H9" s="26"/>
      <c r="I9" s="26"/>
      <c r="J9" s="25"/>
      <c r="K9" s="25"/>
    </row>
    <row r="10" customFormat="false" ht="15" hidden="false" customHeight="true" outlineLevel="0" collapsed="false">
      <c r="A10" s="26"/>
      <c r="B10" s="26"/>
      <c r="C10" s="16"/>
      <c r="D10" s="77"/>
      <c r="E10" s="26" t="n">
        <v>4</v>
      </c>
      <c r="F10" s="27"/>
      <c r="G10" s="29"/>
      <c r="H10" s="26"/>
      <c r="I10" s="26"/>
      <c r="J10" s="25"/>
      <c r="K10" s="25"/>
    </row>
    <row r="11" customFormat="false" ht="15" hidden="false" customHeight="true" outlineLevel="0" collapsed="false">
      <c r="A11" s="26" t="s">
        <v>26</v>
      </c>
      <c r="B11" s="26"/>
      <c r="C11" s="16"/>
      <c r="D11" s="30" t="s">
        <v>27</v>
      </c>
      <c r="E11" s="30"/>
      <c r="F11" s="78"/>
      <c r="G11" s="79" t="n">
        <f aca="false">IF(COUNT(F11:F12)=0,0,AVERAGE(F11:F12))</f>
        <v>0</v>
      </c>
      <c r="H11" s="30" t="n">
        <v>0.4</v>
      </c>
      <c r="I11" s="30"/>
      <c r="J11" s="32" t="n">
        <f aca="false">IF(SUM(F2:G10)+F11=0,0,(G2*H2+G7*H7+F11*H11)/(IF(G2=0,0,H2)+IF(G7=0,0,H7)+IF(F11=0,0,H11)))</f>
        <v>0</v>
      </c>
      <c r="K11" s="32"/>
    </row>
    <row r="12" customFormat="false" ht="15" hidden="false" customHeight="true" outlineLevel="0" collapsed="false">
      <c r="A12" s="26" t="s">
        <v>28</v>
      </c>
      <c r="B12" s="26"/>
      <c r="C12" s="16"/>
      <c r="D12" s="30"/>
      <c r="E12" s="30"/>
      <c r="F12" s="80"/>
      <c r="G12" s="79"/>
      <c r="H12" s="30"/>
      <c r="I12" s="30"/>
      <c r="J12" s="34" t="n">
        <f aca="false">IF(SUM(F2:G10)+F12=0,0,(G2*H2+G7*H7+F12*H11)/(IF(G2=0,0,H2)+IF(G7=0,0,H7)+IF(F12=0,0,H11)))</f>
        <v>0</v>
      </c>
      <c r="K12" s="34"/>
    </row>
    <row r="13" customFormat="false" ht="15" hidden="false" customHeight="true" outlineLevel="0" collapsed="false">
      <c r="A13" s="15" t="s">
        <v>47</v>
      </c>
      <c r="B13" s="15"/>
      <c r="C13" s="16" t="n">
        <v>6</v>
      </c>
      <c r="D13" s="22" t="s">
        <v>25</v>
      </c>
      <c r="E13" s="22" t="s">
        <v>55</v>
      </c>
      <c r="F13" s="23"/>
      <c r="G13" s="24" t="n">
        <f aca="false">IF(SUM(F13:F15)=0,0,(F13*H13+F14*H14+F15*H15)/(IF(F13=0,0,H13)+IF(F14=0,0,H14)+IF(F15=0,0,H15)))</f>
        <v>0</v>
      </c>
      <c r="H13" s="22" t="n">
        <f aca="false">IF(SUM(F13:F14)=0,0.25,IF(AVERAGE(F13:F14)&gt;=F15,0.25,0))</f>
        <v>0.25</v>
      </c>
      <c r="I13" s="22" t="n">
        <v>0.5</v>
      </c>
      <c r="J13" s="18" t="n">
        <f aca="false">IF(SUM(F13:G16)=0,0,(G13*I13+F16*H16)/(IF(G13=0,0,I13)+IF(F16=0,0,H16)))</f>
        <v>0</v>
      </c>
      <c r="K13" s="18"/>
    </row>
    <row r="14" customFormat="false" ht="15" hidden="false" customHeight="true" outlineLevel="0" collapsed="false">
      <c r="A14" s="15"/>
      <c r="B14" s="15"/>
      <c r="C14" s="16"/>
      <c r="D14" s="16"/>
      <c r="E14" s="26" t="s">
        <v>56</v>
      </c>
      <c r="F14" s="27"/>
      <c r="G14" s="24"/>
      <c r="H14" s="26" t="n">
        <f aca="false">IF(SUM(F13:F14)=0,0.25,IF(AVERAGE(F13:F14)&gt;=F15,0.25,0))</f>
        <v>0.25</v>
      </c>
      <c r="I14" s="22"/>
      <c r="J14" s="18"/>
      <c r="K14" s="18"/>
    </row>
    <row r="15" customFormat="false" ht="15" hidden="false" customHeight="true" outlineLevel="0" collapsed="false">
      <c r="A15" s="15"/>
      <c r="B15" s="15"/>
      <c r="C15" s="16"/>
      <c r="D15" s="16"/>
      <c r="E15" s="26" t="s">
        <v>57</v>
      </c>
      <c r="F15" s="27"/>
      <c r="G15" s="24"/>
      <c r="H15" s="26" t="n">
        <f aca="false">IF(SUM(F13:F14)=0,0.5,IF(AVERAGE(F13:F14)&gt;=F15,0.5,1))</f>
        <v>0.5</v>
      </c>
      <c r="I15" s="22"/>
      <c r="J15" s="18"/>
      <c r="K15" s="18"/>
    </row>
    <row r="16" customFormat="false" ht="15" hidden="false" customHeight="true" outlineLevel="0" collapsed="false">
      <c r="A16" s="15"/>
      <c r="B16" s="15"/>
      <c r="C16" s="16"/>
      <c r="D16" s="30" t="s">
        <v>27</v>
      </c>
      <c r="E16" s="30"/>
      <c r="F16" s="45"/>
      <c r="G16" s="45"/>
      <c r="H16" s="30" t="n">
        <v>0.5</v>
      </c>
      <c r="I16" s="30"/>
      <c r="J16" s="18"/>
      <c r="K16" s="18"/>
    </row>
    <row r="17" customFormat="false" ht="15" hidden="false" customHeight="true" outlineLevel="0" collapsed="false">
      <c r="A17" s="15" t="s">
        <v>58</v>
      </c>
      <c r="B17" s="15"/>
      <c r="C17" s="16" t="n">
        <v>6</v>
      </c>
      <c r="D17" s="22" t="s">
        <v>59</v>
      </c>
      <c r="E17" s="22" t="n">
        <v>1</v>
      </c>
      <c r="F17" s="23"/>
      <c r="G17" s="24" t="n">
        <f aca="false">IF(SUM(F17:F19)=0,0,AVERAGE(F17:F19))</f>
        <v>0</v>
      </c>
      <c r="H17" s="22" t="n">
        <v>0.07</v>
      </c>
      <c r="I17" s="22"/>
      <c r="J17" s="18" t="n">
        <f aca="false">IF(SUM(F17:G22)=0,0,(G17*H17+F20*H20+F21*H21+F22*H22)/(IF(G17=0,0,H17)+IF(F20=0,0,H20)+IF(F21=0,0,H21)+IF(F22=0,0,H22)))</f>
        <v>0</v>
      </c>
      <c r="K17" s="18"/>
    </row>
    <row r="18" customFormat="false" ht="15" hidden="false" customHeight="true" outlineLevel="0" collapsed="false">
      <c r="A18" s="15"/>
      <c r="B18" s="15"/>
      <c r="C18" s="16"/>
      <c r="D18" s="16"/>
      <c r="E18" s="26" t="n">
        <v>2</v>
      </c>
      <c r="F18" s="27"/>
      <c r="G18" s="24"/>
      <c r="H18" s="22"/>
      <c r="I18" s="22"/>
      <c r="J18" s="18"/>
      <c r="K18" s="18"/>
    </row>
    <row r="19" customFormat="false" ht="15" hidden="false" customHeight="true" outlineLevel="0" collapsed="false">
      <c r="A19" s="15"/>
      <c r="B19" s="15"/>
      <c r="C19" s="16"/>
      <c r="D19" s="16"/>
      <c r="E19" s="26" t="n">
        <v>3</v>
      </c>
      <c r="F19" s="27"/>
      <c r="G19" s="24"/>
      <c r="H19" s="22"/>
      <c r="I19" s="22"/>
      <c r="J19" s="18"/>
      <c r="K19" s="18"/>
    </row>
    <row r="20" customFormat="false" ht="15" hidden="false" customHeight="true" outlineLevel="0" collapsed="false">
      <c r="A20" s="15"/>
      <c r="B20" s="15"/>
      <c r="C20" s="16"/>
      <c r="D20" s="26" t="s">
        <v>35</v>
      </c>
      <c r="E20" s="26"/>
      <c r="F20" s="27"/>
      <c r="G20" s="27"/>
      <c r="H20" s="26" t="n">
        <v>0.18</v>
      </c>
      <c r="I20" s="26"/>
      <c r="J20" s="18"/>
      <c r="K20" s="18"/>
    </row>
    <row r="21" customFormat="false" ht="15" hidden="false" customHeight="true" outlineLevel="0" collapsed="false">
      <c r="A21" s="15"/>
      <c r="B21" s="15"/>
      <c r="C21" s="16"/>
      <c r="D21" s="26" t="s">
        <v>25</v>
      </c>
      <c r="E21" s="26"/>
      <c r="F21" s="27"/>
      <c r="G21" s="27"/>
      <c r="H21" s="29" t="n">
        <v>0.35</v>
      </c>
      <c r="I21" s="29"/>
      <c r="J21" s="18"/>
      <c r="K21" s="18"/>
    </row>
    <row r="22" customFormat="false" ht="15" hidden="false" customHeight="true" outlineLevel="0" collapsed="false">
      <c r="A22" s="15"/>
      <c r="B22" s="15"/>
      <c r="C22" s="16"/>
      <c r="D22" s="30" t="s">
        <v>27</v>
      </c>
      <c r="E22" s="30"/>
      <c r="F22" s="45"/>
      <c r="G22" s="45"/>
      <c r="H22" s="81" t="n">
        <v>0.4</v>
      </c>
      <c r="I22" s="81"/>
      <c r="J22" s="18"/>
      <c r="K22" s="18"/>
    </row>
    <row r="23" customFormat="false" ht="15" hidden="false" customHeight="true" outlineLevel="0" collapsed="false">
      <c r="A23" s="35" t="s">
        <v>38</v>
      </c>
      <c r="B23" s="22" t="s">
        <v>39</v>
      </c>
      <c r="C23" s="36" t="n">
        <v>3</v>
      </c>
      <c r="D23" s="22" t="s">
        <v>22</v>
      </c>
      <c r="E23" s="22"/>
      <c r="F23" s="23"/>
      <c r="G23" s="23"/>
      <c r="H23" s="22" t="n">
        <v>1</v>
      </c>
      <c r="I23" s="22"/>
      <c r="J23" s="24" t="n">
        <f aca="false">F23</f>
        <v>0</v>
      </c>
      <c r="K23" s="66" t="n">
        <f aca="false">IF(SUM(F23:G25)=0,0,(J23+J24)/(IF(J23=0,0,1)+IF(J24=0,0,1)))</f>
        <v>0</v>
      </c>
    </row>
    <row r="24" customFormat="false" ht="15" hidden="false" customHeight="true" outlineLevel="0" collapsed="false">
      <c r="A24" s="35"/>
      <c r="B24" s="67" t="s">
        <v>40</v>
      </c>
      <c r="C24" s="36"/>
      <c r="D24" s="67" t="s">
        <v>41</v>
      </c>
      <c r="E24" s="43" t="n">
        <v>1</v>
      </c>
      <c r="F24" s="49"/>
      <c r="G24" s="49"/>
      <c r="H24" s="38" t="n">
        <v>1</v>
      </c>
      <c r="I24" s="38"/>
      <c r="J24" s="69" t="n">
        <f aca="false">IF(COUNT(F24:G25)=0,0,AVERAGE(F24:G25))</f>
        <v>0</v>
      </c>
      <c r="K24" s="66"/>
    </row>
    <row r="25" customFormat="false" ht="15" hidden="false" customHeight="true" outlineLevel="0" collapsed="false">
      <c r="A25" s="35"/>
      <c r="B25" s="67"/>
      <c r="C25" s="36"/>
      <c r="D25" s="67"/>
      <c r="E25" s="38" t="n">
        <v>2</v>
      </c>
      <c r="F25" s="39"/>
      <c r="G25" s="39"/>
      <c r="H25" s="38"/>
      <c r="I25" s="38"/>
      <c r="J25" s="69"/>
      <c r="K25" s="66"/>
    </row>
    <row r="26" customFormat="false" ht="15" hidden="false" customHeight="true" outlineLevel="0" collapsed="false">
      <c r="A26" s="35"/>
      <c r="B26" s="67" t="s">
        <v>43</v>
      </c>
      <c r="C26" s="67" t="n">
        <v>1</v>
      </c>
      <c r="D26" s="67" t="s">
        <v>22</v>
      </c>
      <c r="E26" s="67"/>
      <c r="F26" s="82"/>
      <c r="G26" s="82"/>
      <c r="H26" s="54" t="n">
        <v>1</v>
      </c>
      <c r="I26" s="54"/>
      <c r="J26" s="55" t="n">
        <f aca="false">F26</f>
        <v>0</v>
      </c>
      <c r="K26" s="55"/>
    </row>
    <row r="27" customFormat="false" ht="15" hidden="false" customHeight="true" outlineLevel="0" collapsed="false">
      <c r="A27" s="35"/>
      <c r="B27" s="41" t="s">
        <v>60</v>
      </c>
      <c r="C27" s="40" t="n">
        <v>2</v>
      </c>
      <c r="D27" s="41" t="s">
        <v>22</v>
      </c>
      <c r="E27" s="41"/>
      <c r="F27" s="42"/>
      <c r="G27" s="42"/>
      <c r="H27" s="83" t="n">
        <v>1</v>
      </c>
      <c r="I27" s="83"/>
      <c r="J27" s="84" t="n">
        <f aca="false">F27</f>
        <v>0</v>
      </c>
      <c r="K27" s="57" t="n">
        <f aca="false">IF(SUM(F27:G28)=0,0,(J27+J28)/(IF(J27=0,0,1)+IF(J28=0,0,1)))</f>
        <v>0</v>
      </c>
    </row>
    <row r="28" customFormat="false" ht="15" hidden="false" customHeight="true" outlineLevel="0" collapsed="false">
      <c r="A28" s="35"/>
      <c r="B28" s="46" t="s">
        <v>61</v>
      </c>
      <c r="C28" s="40"/>
      <c r="D28" s="46" t="s">
        <v>22</v>
      </c>
      <c r="E28" s="46"/>
      <c r="F28" s="56"/>
      <c r="G28" s="56"/>
      <c r="H28" s="30" t="n">
        <v>1</v>
      </c>
      <c r="I28" s="30"/>
      <c r="J28" s="47" t="n">
        <f aca="false">F28</f>
        <v>0</v>
      </c>
      <c r="K28" s="57"/>
    </row>
    <row r="29" customFormat="false" ht="15" hidden="false" customHeight="true" outlineLevel="0" collapsed="false">
      <c r="A29" s="58"/>
      <c r="B29" s="59"/>
      <c r="C29" s="59"/>
      <c r="D29" s="59"/>
      <c r="E29" s="59"/>
      <c r="H29" s="19" t="s">
        <v>44</v>
      </c>
      <c r="I29" s="19"/>
      <c r="J29" s="25" t="n">
        <f aca="false">IF(SUM(J2:K22)=0,0,(J2*C2+J13*C13+J17*C17)/(IF(J2=0,0,C2)+IF(J13=0,0,C13)+IF(J17=0,0,C17)))</f>
        <v>0</v>
      </c>
      <c r="K29" s="25"/>
    </row>
    <row r="30" customFormat="false" ht="15" hidden="false" customHeight="true" outlineLevel="0" collapsed="false">
      <c r="A30" s="58"/>
      <c r="B30" s="59"/>
      <c r="C30" s="59"/>
      <c r="D30" s="59"/>
      <c r="E30" s="59"/>
      <c r="H30" s="85" t="s">
        <v>45</v>
      </c>
      <c r="I30" s="85"/>
      <c r="J30" s="32" t="str">
        <f aca="false">IF(SUM(J23:K28)=0,"- - -",IF(AND(OR(K23=0,K23&gt;=10),OR(J26=0,J26&gt;=10),OR(K27=0,K27&gt;=10)),"VAL","NVAL"))</f>
        <v>- - -</v>
      </c>
      <c r="K30" s="32"/>
    </row>
    <row r="31" customFormat="false" ht="15" hidden="false" customHeight="true" outlineLevel="0" collapsed="false">
      <c r="H31" s="60" t="s">
        <v>46</v>
      </c>
      <c r="I31" s="60"/>
      <c r="J31" s="61" t="n">
        <f aca="false">IF(SUM(J2:K28)=0,0,(J2*C2+J13*C13+J17*C17+K23*C23+J26*C26+K27*C27)/(IF(J2=0,0,C2)+IF(J13=0,0,C13)+IF(J17=0,0,C17)+IF(K23=0,0,C23)+IF(J26=0,0,C26)+IF(K27=0,0,C27)))</f>
        <v>0</v>
      </c>
      <c r="K31" s="61"/>
    </row>
    <row r="32" customFormat="false" ht="15" hidden="false" customHeight="true" outlineLevel="0" collapsed="false">
      <c r="H32" s="86" t="str">
        <f aca="false">IF(J29=0,"- - -",IF(AND(J29&gt;=10,NOT(J30="NVAL")),"Semestre validé","Semestre échoué"))</f>
        <v>- - -</v>
      </c>
      <c r="I32" s="86"/>
      <c r="J32" s="86"/>
      <c r="K32" s="86"/>
    </row>
  </sheetData>
  <mergeCells count="76">
    <mergeCell ref="A1:B1"/>
    <mergeCell ref="D1:E1"/>
    <mergeCell ref="F1:G1"/>
    <mergeCell ref="H1:I1"/>
    <mergeCell ref="J1:K1"/>
    <mergeCell ref="A2:B10"/>
    <mergeCell ref="C2:C12"/>
    <mergeCell ref="D2:D6"/>
    <mergeCell ref="G2:G6"/>
    <mergeCell ref="H2:I6"/>
    <mergeCell ref="J2:K10"/>
    <mergeCell ref="D7:D10"/>
    <mergeCell ref="G7:G10"/>
    <mergeCell ref="H7:I10"/>
    <mergeCell ref="A11:B11"/>
    <mergeCell ref="D11:E12"/>
    <mergeCell ref="G11:G12"/>
    <mergeCell ref="H11:I12"/>
    <mergeCell ref="J11:K11"/>
    <mergeCell ref="A12:B12"/>
    <mergeCell ref="J12:K12"/>
    <mergeCell ref="A13:B16"/>
    <mergeCell ref="C13:C16"/>
    <mergeCell ref="D13:D15"/>
    <mergeCell ref="G13:G15"/>
    <mergeCell ref="I13:I15"/>
    <mergeCell ref="J13:K16"/>
    <mergeCell ref="D16:E16"/>
    <mergeCell ref="F16:G16"/>
    <mergeCell ref="H16:I16"/>
    <mergeCell ref="A17:B22"/>
    <mergeCell ref="C17:C22"/>
    <mergeCell ref="D17:D19"/>
    <mergeCell ref="G17:G19"/>
    <mergeCell ref="H17:I19"/>
    <mergeCell ref="J17:K22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A23:A28"/>
    <mergeCell ref="C23:C25"/>
    <mergeCell ref="D23:E23"/>
    <mergeCell ref="F23:G23"/>
    <mergeCell ref="H23:I23"/>
    <mergeCell ref="K23:K25"/>
    <mergeCell ref="B24:B25"/>
    <mergeCell ref="D24:D25"/>
    <mergeCell ref="F24:G24"/>
    <mergeCell ref="H24:I25"/>
    <mergeCell ref="J24:J25"/>
    <mergeCell ref="F25:G25"/>
    <mergeCell ref="D26:E26"/>
    <mergeCell ref="F26:G26"/>
    <mergeCell ref="H26:I26"/>
    <mergeCell ref="J26:K26"/>
    <mergeCell ref="C27:C28"/>
    <mergeCell ref="D27:E27"/>
    <mergeCell ref="F27:G27"/>
    <mergeCell ref="H27:I27"/>
    <mergeCell ref="K27:K28"/>
    <mergeCell ref="D28:E28"/>
    <mergeCell ref="F28:G28"/>
    <mergeCell ref="H28:I28"/>
    <mergeCell ref="H29:I29"/>
    <mergeCell ref="J29:K29"/>
    <mergeCell ref="H30:I30"/>
    <mergeCell ref="J30:K30"/>
    <mergeCell ref="H31:I31"/>
    <mergeCell ref="J31:K31"/>
    <mergeCell ref="H32:K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6796875" defaultRowHeight="15" zeroHeight="false" outlineLevelRow="0" outlineLevelCol="0"/>
  <cols>
    <col collapsed="false" customWidth="true" hidden="false" outlineLevel="0" max="1" min="1" style="13" width="3.83"/>
    <col collapsed="false" customWidth="true" hidden="false" outlineLevel="0" max="2" min="2" style="13" width="13.83"/>
    <col collapsed="false" customWidth="true" hidden="false" outlineLevel="0" max="4" min="3" style="13" width="6.83"/>
    <col collapsed="false" customWidth="true" hidden="false" outlineLevel="0" max="5" min="5" style="13" width="10.83"/>
    <col collapsed="false" customWidth="true" hidden="false" outlineLevel="0" max="7" min="6" style="14" width="5.83"/>
    <col collapsed="false" customWidth="true" hidden="false" outlineLevel="0" max="8" min="8" style="13" width="5.51"/>
    <col collapsed="false" customWidth="true" hidden="false" outlineLevel="0" max="9" min="9" style="13" width="5.33"/>
    <col collapsed="false" customWidth="true" hidden="false" outlineLevel="0" max="11" min="10" style="14" width="5.83"/>
    <col collapsed="false" customWidth="false" hidden="false" outlineLevel="0" max="16384" min="12" style="13" width="8.67"/>
  </cols>
  <sheetData>
    <row r="1" customFormat="false" ht="15" hidden="false" customHeight="true" outlineLevel="0" collapsed="false">
      <c r="A1" s="15" t="s">
        <v>17</v>
      </c>
      <c r="B1" s="15"/>
      <c r="C1" s="16" t="s">
        <v>18</v>
      </c>
      <c r="D1" s="87" t="s">
        <v>19</v>
      </c>
      <c r="E1" s="87"/>
      <c r="F1" s="17" t="s">
        <v>20</v>
      </c>
      <c r="G1" s="17"/>
      <c r="H1" s="16" t="s">
        <v>21</v>
      </c>
      <c r="I1" s="16"/>
      <c r="J1" s="18" t="s">
        <v>22</v>
      </c>
      <c r="K1" s="18"/>
    </row>
    <row r="2" customFormat="false" ht="15" hidden="false" customHeight="true" outlineLevel="0" collapsed="false">
      <c r="A2" s="19" t="s">
        <v>23</v>
      </c>
      <c r="B2" s="19"/>
      <c r="C2" s="16" t="n">
        <v>12</v>
      </c>
      <c r="D2" s="21" t="s">
        <v>24</v>
      </c>
      <c r="E2" s="88" t="n">
        <v>1</v>
      </c>
      <c r="F2" s="49"/>
      <c r="G2" s="24" t="n">
        <f aca="false">IF(COUNT(F2:F6)=1,AVERAGE(F2:F6),(SUM(F2:F6)-MIN(F2:F6))/(COUNT(F2:F6)-1))</f>
        <v>0</v>
      </c>
      <c r="H2" s="22" t="n">
        <v>0.3</v>
      </c>
      <c r="I2" s="22"/>
      <c r="J2" s="48" t="n">
        <f aca="false">IF(SUM(F2:G12)=0,0,(G2*H2+G7*H7+G11*H11)/(IF(G2=0,0,H2)+IF(G7=0,0,H7)+IF(G11=0,0,H11)))</f>
        <v>0</v>
      </c>
      <c r="K2" s="48"/>
    </row>
    <row r="3" customFormat="false" ht="15" hidden="false" customHeight="true" outlineLevel="0" collapsed="false">
      <c r="A3" s="19"/>
      <c r="B3" s="19"/>
      <c r="C3" s="16"/>
      <c r="D3" s="21"/>
      <c r="E3" s="89" t="n">
        <v>2</v>
      </c>
      <c r="F3" s="27"/>
      <c r="G3" s="24"/>
      <c r="H3" s="22"/>
      <c r="I3" s="22"/>
      <c r="J3" s="48"/>
      <c r="K3" s="48"/>
    </row>
    <row r="4" customFormat="false" ht="15" hidden="false" customHeight="true" outlineLevel="0" collapsed="false">
      <c r="A4" s="19"/>
      <c r="B4" s="19"/>
      <c r="C4" s="16"/>
      <c r="D4" s="21"/>
      <c r="E4" s="89" t="n">
        <v>3</v>
      </c>
      <c r="F4" s="27"/>
      <c r="G4" s="24"/>
      <c r="H4" s="22"/>
      <c r="I4" s="22"/>
      <c r="J4" s="48"/>
      <c r="K4" s="48"/>
    </row>
    <row r="5" customFormat="false" ht="15" hidden="false" customHeight="true" outlineLevel="0" collapsed="false">
      <c r="A5" s="19"/>
      <c r="B5" s="19"/>
      <c r="C5" s="16"/>
      <c r="D5" s="21"/>
      <c r="E5" s="89" t="n">
        <v>4</v>
      </c>
      <c r="F5" s="27"/>
      <c r="G5" s="24"/>
      <c r="H5" s="22"/>
      <c r="I5" s="22"/>
      <c r="J5" s="48"/>
      <c r="K5" s="48"/>
    </row>
    <row r="6" customFormat="false" ht="15" hidden="false" customHeight="true" outlineLevel="0" collapsed="false">
      <c r="A6" s="19"/>
      <c r="B6" s="19"/>
      <c r="C6" s="16"/>
      <c r="D6" s="21"/>
      <c r="E6" s="89" t="n">
        <v>5</v>
      </c>
      <c r="F6" s="27"/>
      <c r="G6" s="24"/>
      <c r="H6" s="22"/>
      <c r="I6" s="22"/>
      <c r="J6" s="48"/>
      <c r="K6" s="48"/>
    </row>
    <row r="7" customFormat="false" ht="15" hidden="false" customHeight="true" outlineLevel="0" collapsed="false">
      <c r="A7" s="19"/>
      <c r="B7" s="19"/>
      <c r="C7" s="16"/>
      <c r="D7" s="26" t="s">
        <v>25</v>
      </c>
      <c r="E7" s="89" t="n">
        <v>1</v>
      </c>
      <c r="F7" s="27"/>
      <c r="G7" s="29" t="n">
        <f aca="false">IF(COUNT(F7:F10)=0,0,AVERAGE(F7:F10))</f>
        <v>0</v>
      </c>
      <c r="H7" s="26" t="n">
        <v>0.3</v>
      </c>
      <c r="I7" s="26"/>
      <c r="J7" s="48"/>
      <c r="K7" s="48"/>
    </row>
    <row r="8" customFormat="false" ht="15" hidden="false" customHeight="true" outlineLevel="0" collapsed="false">
      <c r="A8" s="19"/>
      <c r="B8" s="19"/>
      <c r="C8" s="16"/>
      <c r="D8" s="16"/>
      <c r="E8" s="89" t="n">
        <v>2</v>
      </c>
      <c r="F8" s="27"/>
      <c r="G8" s="29"/>
      <c r="H8" s="26"/>
      <c r="I8" s="26"/>
      <c r="J8" s="48"/>
      <c r="K8" s="48"/>
    </row>
    <row r="9" customFormat="false" ht="15" hidden="false" customHeight="true" outlineLevel="0" collapsed="false">
      <c r="A9" s="19"/>
      <c r="B9" s="19"/>
      <c r="C9" s="16"/>
      <c r="D9" s="16"/>
      <c r="E9" s="89" t="n">
        <v>3</v>
      </c>
      <c r="F9" s="27"/>
      <c r="G9" s="29"/>
      <c r="H9" s="26"/>
      <c r="I9" s="26"/>
      <c r="J9" s="48"/>
      <c r="K9" s="48"/>
    </row>
    <row r="10" customFormat="false" ht="15" hidden="false" customHeight="true" outlineLevel="0" collapsed="false">
      <c r="A10" s="19"/>
      <c r="B10" s="19"/>
      <c r="C10" s="16"/>
      <c r="D10" s="26"/>
      <c r="E10" s="89" t="n">
        <v>4</v>
      </c>
      <c r="F10" s="27"/>
      <c r="G10" s="29"/>
      <c r="H10" s="26"/>
      <c r="I10" s="26"/>
      <c r="J10" s="48"/>
      <c r="K10" s="48"/>
    </row>
    <row r="11" customFormat="false" ht="15" hidden="false" customHeight="true" outlineLevel="0" collapsed="false">
      <c r="A11" s="26" t="s">
        <v>26</v>
      </c>
      <c r="B11" s="26"/>
      <c r="C11" s="16"/>
      <c r="D11" s="90" t="s">
        <v>27</v>
      </c>
      <c r="E11" s="90"/>
      <c r="F11" s="31"/>
      <c r="G11" s="29" t="n">
        <f aca="false">IF(COUNT(F11:F12)=0,0,AVERAGE(F11:F12))</f>
        <v>0</v>
      </c>
      <c r="H11" s="30" t="n">
        <v>0.4</v>
      </c>
      <c r="I11" s="30"/>
      <c r="J11" s="32" t="n">
        <f aca="false">IF(SUM(F2:G10)+F11=0,0,(G2*H2+G7*H7+F11*H11)/(IF(G2=0,0,H2)+IF(G7=0,0,H7)+IF(F11=0,0,H11)))</f>
        <v>0</v>
      </c>
      <c r="K11" s="32"/>
    </row>
    <row r="12" customFormat="false" ht="15" hidden="false" customHeight="true" outlineLevel="0" collapsed="false">
      <c r="A12" s="26" t="s">
        <v>28</v>
      </c>
      <c r="B12" s="26"/>
      <c r="C12" s="16"/>
      <c r="D12" s="90"/>
      <c r="E12" s="90"/>
      <c r="F12" s="45"/>
      <c r="G12" s="29"/>
      <c r="H12" s="30"/>
      <c r="I12" s="30"/>
      <c r="J12" s="57" t="n">
        <f aca="false">IF(SUM(F2:G10)+F12=0,0,(G2*H2+G7*H7+F12*H11)/(IF(G2=0,0,H2)+IF(G7=0,0,H7)+IF(F12=0,0,H11)))</f>
        <v>0</v>
      </c>
      <c r="K12" s="57"/>
    </row>
    <row r="13" customFormat="false" ht="15" hidden="false" customHeight="true" outlineLevel="0" collapsed="false">
      <c r="A13" s="15" t="s">
        <v>62</v>
      </c>
      <c r="B13" s="15"/>
      <c r="C13" s="16" t="n">
        <v>6</v>
      </c>
      <c r="D13" s="22" t="s">
        <v>59</v>
      </c>
      <c r="E13" s="22" t="n">
        <v>1</v>
      </c>
      <c r="F13" s="23"/>
      <c r="G13" s="24" t="n">
        <f aca="false">IF(SUM(F13:F16)=0,0,(F13*H13+F14*H14+F15*H15+F16*H16)/(IF(F13=0,0,H13)+IF(F14=0,0,H14)+IF(F15=0,0,H15)+IF(F16=0,0,H16)))</f>
        <v>0</v>
      </c>
      <c r="H13" s="24" t="n">
        <f aca="false">1/6</f>
        <v>0.166666666666667</v>
      </c>
      <c r="I13" s="24" t="n">
        <f aca="false">1/3</f>
        <v>0.333333333333333</v>
      </c>
      <c r="J13" s="18" t="n">
        <f aca="false">IF(SUM(F13:G17)=0,0,(G13*I13+F17*H17)/(IF(G13=0,0,I13)+IF(F17=0,0,H17)))</f>
        <v>0</v>
      </c>
      <c r="K13" s="18"/>
    </row>
    <row r="14" customFormat="false" ht="15" hidden="false" customHeight="true" outlineLevel="0" collapsed="false">
      <c r="A14" s="15"/>
      <c r="B14" s="15"/>
      <c r="C14" s="16"/>
      <c r="D14" s="16"/>
      <c r="E14" s="26" t="n">
        <v>2</v>
      </c>
      <c r="F14" s="27"/>
      <c r="G14" s="24"/>
      <c r="H14" s="29" t="n">
        <f aca="false">1/6</f>
        <v>0.166666666666667</v>
      </c>
      <c r="I14" s="24"/>
      <c r="J14" s="24"/>
      <c r="K14" s="18"/>
    </row>
    <row r="15" customFormat="false" ht="15" hidden="false" customHeight="true" outlineLevel="0" collapsed="false">
      <c r="A15" s="15"/>
      <c r="B15" s="15"/>
      <c r="C15" s="16"/>
      <c r="D15" s="16"/>
      <c r="E15" s="26" t="n">
        <v>3</v>
      </c>
      <c r="F15" s="27"/>
      <c r="G15" s="24"/>
      <c r="H15" s="29" t="n">
        <f aca="false">1/6</f>
        <v>0.166666666666667</v>
      </c>
      <c r="I15" s="24"/>
      <c r="J15" s="24"/>
      <c r="K15" s="18"/>
    </row>
    <row r="16" customFormat="false" ht="15" hidden="false" customHeight="true" outlineLevel="0" collapsed="false">
      <c r="A16" s="15"/>
      <c r="B16" s="15"/>
      <c r="C16" s="16"/>
      <c r="D16" s="16"/>
      <c r="E16" s="26" t="s">
        <v>63</v>
      </c>
      <c r="F16" s="27"/>
      <c r="G16" s="24"/>
      <c r="H16" s="26" t="n">
        <v>0.5</v>
      </c>
      <c r="I16" s="24"/>
      <c r="J16" s="24"/>
      <c r="K16" s="18"/>
    </row>
    <row r="17" customFormat="false" ht="15" hidden="false" customHeight="true" outlineLevel="0" collapsed="false">
      <c r="A17" s="15"/>
      <c r="B17" s="15"/>
      <c r="C17" s="16"/>
      <c r="D17" s="30" t="s">
        <v>27</v>
      </c>
      <c r="E17" s="30"/>
      <c r="F17" s="45"/>
      <c r="G17" s="45"/>
      <c r="H17" s="47" t="n">
        <f aca="false">2/3</f>
        <v>0.666666666666667</v>
      </c>
      <c r="I17" s="47"/>
      <c r="J17" s="18"/>
      <c r="K17" s="18"/>
    </row>
    <row r="18" customFormat="false" ht="15" hidden="false" customHeight="true" outlineLevel="0" collapsed="false">
      <c r="A18" s="91" t="s">
        <v>64</v>
      </c>
      <c r="B18" s="91"/>
      <c r="C18" s="46" t="n">
        <v>6</v>
      </c>
      <c r="D18" s="43" t="s">
        <v>59</v>
      </c>
      <c r="E18" s="43" t="n">
        <v>1</v>
      </c>
      <c r="F18" s="49"/>
      <c r="G18" s="84" t="n">
        <f aca="false">IF(SUM(F18:F22)=0,0,AVERAGE(F18:F22))</f>
        <v>0</v>
      </c>
      <c r="H18" s="43" t="n">
        <v>0.1</v>
      </c>
      <c r="I18" s="22" t="n">
        <v>0.3</v>
      </c>
      <c r="J18" s="57" t="n">
        <f aca="false">IF(SUM(F18:F24)=0,0,(G18*I18+G23*I23)/(IF(G18=0,0,I18)+IF(G23=0,0,I23)))</f>
        <v>0</v>
      </c>
      <c r="K18" s="57"/>
    </row>
    <row r="19" customFormat="false" ht="15" hidden="false" customHeight="true" outlineLevel="0" collapsed="false">
      <c r="A19" s="91"/>
      <c r="B19" s="91"/>
      <c r="C19" s="46"/>
      <c r="D19" s="46"/>
      <c r="E19" s="26" t="n">
        <v>2</v>
      </c>
      <c r="F19" s="27"/>
      <c r="G19" s="84"/>
      <c r="H19" s="26" t="n">
        <v>0.1</v>
      </c>
      <c r="I19" s="22"/>
      <c r="J19" s="57"/>
      <c r="K19" s="57"/>
    </row>
    <row r="20" customFormat="false" ht="15" hidden="false" customHeight="true" outlineLevel="0" collapsed="false">
      <c r="A20" s="91"/>
      <c r="B20" s="91"/>
      <c r="C20" s="46"/>
      <c r="D20" s="46"/>
      <c r="E20" s="26" t="n">
        <v>3</v>
      </c>
      <c r="F20" s="27"/>
      <c r="G20" s="84"/>
      <c r="H20" s="43" t="n">
        <v>0.1</v>
      </c>
      <c r="I20" s="22"/>
      <c r="J20" s="57"/>
      <c r="K20" s="57"/>
    </row>
    <row r="21" customFormat="false" ht="15" hidden="false" customHeight="true" outlineLevel="0" collapsed="false">
      <c r="A21" s="91"/>
      <c r="B21" s="91"/>
      <c r="C21" s="46"/>
      <c r="D21" s="46"/>
      <c r="E21" s="26" t="n">
        <v>4</v>
      </c>
      <c r="F21" s="27"/>
      <c r="G21" s="84"/>
      <c r="H21" s="26" t="n">
        <v>0.1</v>
      </c>
      <c r="I21" s="22"/>
      <c r="J21" s="57"/>
      <c r="K21" s="57"/>
    </row>
    <row r="22" customFormat="false" ht="15" hidden="false" customHeight="true" outlineLevel="0" collapsed="false">
      <c r="A22" s="91"/>
      <c r="B22" s="91"/>
      <c r="C22" s="46"/>
      <c r="D22" s="46"/>
      <c r="E22" s="26" t="s">
        <v>63</v>
      </c>
      <c r="F22" s="27"/>
      <c r="G22" s="84"/>
      <c r="H22" s="43" t="n">
        <v>0.6</v>
      </c>
      <c r="I22" s="22"/>
      <c r="J22" s="57"/>
      <c r="K22" s="57"/>
    </row>
    <row r="23" customFormat="false" ht="15" hidden="false" customHeight="true" outlineLevel="0" collapsed="false">
      <c r="A23" s="91"/>
      <c r="B23" s="91"/>
      <c r="C23" s="46"/>
      <c r="D23" s="26" t="s">
        <v>25</v>
      </c>
      <c r="E23" s="26"/>
      <c r="F23" s="92"/>
      <c r="G23" s="47" t="n">
        <f aca="false">IF(SUM(F23:F24)=0,0,(F23*H23+F24*H24)/(IF(F23=0,0,H23)+IF(F24=0,0,H24)))</f>
        <v>0</v>
      </c>
      <c r="H23" s="29" t="n">
        <f aca="false">IF(F23&gt;=F24,0.5,0)</f>
        <v>0.5</v>
      </c>
      <c r="I23" s="47" t="n">
        <v>0.7</v>
      </c>
      <c r="J23" s="57"/>
      <c r="K23" s="57"/>
    </row>
    <row r="24" customFormat="false" ht="15" hidden="false" customHeight="true" outlineLevel="0" collapsed="false">
      <c r="A24" s="91"/>
      <c r="B24" s="91"/>
      <c r="C24" s="46"/>
      <c r="D24" s="30" t="s">
        <v>27</v>
      </c>
      <c r="E24" s="30"/>
      <c r="F24" s="93"/>
      <c r="G24" s="47"/>
      <c r="H24" s="81" t="n">
        <v>0.5</v>
      </c>
      <c r="I24" s="47"/>
      <c r="J24" s="57"/>
      <c r="K24" s="57"/>
    </row>
    <row r="25" customFormat="false" ht="15" hidden="false" customHeight="true" outlineLevel="0" collapsed="false">
      <c r="A25" s="35" t="s">
        <v>38</v>
      </c>
      <c r="B25" s="22" t="s">
        <v>39</v>
      </c>
      <c r="C25" s="36" t="n">
        <v>2</v>
      </c>
      <c r="D25" s="88" t="s">
        <v>22</v>
      </c>
      <c r="E25" s="88"/>
      <c r="F25" s="23"/>
      <c r="G25" s="23"/>
      <c r="H25" s="22" t="n">
        <v>1</v>
      </c>
      <c r="I25" s="22"/>
      <c r="J25" s="24" t="n">
        <f aca="false">F25</f>
        <v>0</v>
      </c>
      <c r="K25" s="66" t="n">
        <f aca="false">IF(SUM(F25:G28)=0,0,(J25+J26)/(IF(J25=0,0,1)+IF(J26=0,0,1)))</f>
        <v>0</v>
      </c>
    </row>
    <row r="26" customFormat="false" ht="15" hidden="false" customHeight="true" outlineLevel="0" collapsed="false">
      <c r="A26" s="35"/>
      <c r="B26" s="38" t="s">
        <v>40</v>
      </c>
      <c r="C26" s="36"/>
      <c r="D26" s="89" t="s">
        <v>65</v>
      </c>
      <c r="E26" s="89"/>
      <c r="F26" s="27"/>
      <c r="G26" s="27"/>
      <c r="H26" s="94" t="n">
        <v>1</v>
      </c>
      <c r="I26" s="94"/>
      <c r="J26" s="95" t="n">
        <f aca="false">IF(COUNT(F26:G28)=0,0,AVERAGE(F26:G28))</f>
        <v>0</v>
      </c>
      <c r="K26" s="66"/>
    </row>
    <row r="27" customFormat="false" ht="15" hidden="false" customHeight="true" outlineLevel="0" collapsed="false">
      <c r="A27" s="35"/>
      <c r="B27" s="38"/>
      <c r="C27" s="38"/>
      <c r="D27" s="89" t="s">
        <v>49</v>
      </c>
      <c r="E27" s="89"/>
      <c r="F27" s="27"/>
      <c r="G27" s="27"/>
      <c r="H27" s="94"/>
      <c r="I27" s="94"/>
      <c r="J27" s="95"/>
      <c r="K27" s="66"/>
    </row>
    <row r="28" customFormat="false" ht="15" hidden="false" customHeight="true" outlineLevel="0" collapsed="false">
      <c r="A28" s="35"/>
      <c r="B28" s="38"/>
      <c r="C28" s="38"/>
      <c r="D28" s="96" t="s">
        <v>51</v>
      </c>
      <c r="E28" s="96"/>
      <c r="F28" s="39"/>
      <c r="G28" s="39"/>
      <c r="H28" s="94"/>
      <c r="I28" s="94"/>
      <c r="J28" s="95"/>
      <c r="K28" s="66"/>
    </row>
    <row r="29" customFormat="false" ht="15" hidden="false" customHeight="true" outlineLevel="0" collapsed="false">
      <c r="A29" s="35"/>
      <c r="B29" s="52" t="s">
        <v>43</v>
      </c>
      <c r="C29" s="52" t="n">
        <v>1</v>
      </c>
      <c r="D29" s="52" t="s">
        <v>22</v>
      </c>
      <c r="E29" s="52"/>
      <c r="F29" s="53"/>
      <c r="G29" s="53"/>
      <c r="H29" s="54" t="n">
        <v>1</v>
      </c>
      <c r="I29" s="54"/>
      <c r="J29" s="55" t="n">
        <f aca="false">F29</f>
        <v>0</v>
      </c>
      <c r="K29" s="55"/>
    </row>
    <row r="30" customFormat="false" ht="15" hidden="false" customHeight="true" outlineLevel="0" collapsed="false">
      <c r="A30" s="35"/>
      <c r="B30" s="52" t="s">
        <v>66</v>
      </c>
      <c r="C30" s="52" t="n">
        <v>2</v>
      </c>
      <c r="D30" s="97" t="s">
        <v>22</v>
      </c>
      <c r="E30" s="97"/>
      <c r="F30" s="53"/>
      <c r="G30" s="53"/>
      <c r="H30" s="54" t="n">
        <v>1</v>
      </c>
      <c r="I30" s="54"/>
      <c r="J30" s="55" t="n">
        <f aca="false">F30</f>
        <v>0</v>
      </c>
      <c r="K30" s="55"/>
    </row>
    <row r="31" customFormat="false" ht="15" hidden="false" customHeight="true" outlineLevel="0" collapsed="false">
      <c r="A31" s="35"/>
      <c r="B31" s="46" t="s">
        <v>67</v>
      </c>
      <c r="C31" s="46" t="n">
        <v>1</v>
      </c>
      <c r="D31" s="98" t="s">
        <v>22</v>
      </c>
      <c r="E31" s="98"/>
      <c r="F31" s="99"/>
      <c r="G31" s="99"/>
      <c r="H31" s="40" t="n">
        <v>1</v>
      </c>
      <c r="I31" s="40"/>
      <c r="J31" s="100" t="n">
        <f aca="false">F31</f>
        <v>0</v>
      </c>
      <c r="K31" s="100"/>
    </row>
    <row r="32" customFormat="false" ht="15" hidden="false" customHeight="true" outlineLevel="0" collapsed="false">
      <c r="A32" s="58"/>
      <c r="B32" s="59"/>
      <c r="C32" s="59"/>
      <c r="D32" s="59"/>
      <c r="E32" s="59"/>
      <c r="F32" s="101"/>
      <c r="G32" s="101"/>
      <c r="H32" s="19" t="s">
        <v>44</v>
      </c>
      <c r="I32" s="19"/>
      <c r="J32" s="48" t="n">
        <f aca="false">IF(SUM(J2:K24)=0,0,(J2*C2+J13*C13+J18*C18)/(IF(J2=0,0,C2)+IF(J13=0,0,C13)+IF(J18=0,0,C18)))</f>
        <v>0</v>
      </c>
      <c r="K32" s="48"/>
    </row>
    <row r="33" customFormat="false" ht="15" hidden="false" customHeight="true" outlineLevel="0" collapsed="false">
      <c r="A33" s="58"/>
      <c r="B33" s="59"/>
      <c r="C33" s="59"/>
      <c r="D33" s="59"/>
      <c r="E33" s="59"/>
      <c r="F33" s="101"/>
      <c r="G33" s="101"/>
      <c r="H33" s="85" t="s">
        <v>45</v>
      </c>
      <c r="I33" s="85"/>
      <c r="J33" s="32" t="str">
        <f aca="false">IF(SUM(J25:K31)=0,"- - -",IF(AND(OR(K25=0,K25&gt;=10),OR(J29=0,J29&gt;=10),OR(J30=0,J30&gt;=10),OR(J31=0,J31&gt;=10)),"VAL","NVAL"))</f>
        <v>- - -</v>
      </c>
      <c r="K33" s="32"/>
    </row>
    <row r="34" customFormat="false" ht="15" hidden="false" customHeight="true" outlineLevel="0" collapsed="false">
      <c r="H34" s="85" t="s">
        <v>46</v>
      </c>
      <c r="I34" s="85"/>
      <c r="J34" s="32" t="n">
        <f aca="false">IF(SUM(J2:K31)=0,0,(J2*C2+J13*C13+J18*C18+K25*C25+J29*C29+J30*C30+J31*C31)/(IF(J2=0,0,C2)+IF(J13=0,0,C13)+IF(J18=0,0,C18)+IF(K25=0,0,C25)+IF(J29=0,0,C29)+IF(J30=0,0,C30)+IF(J31=0,0,C31)))</f>
        <v>0</v>
      </c>
      <c r="K34" s="32"/>
    </row>
    <row r="35" customFormat="false" ht="15" hidden="false" customHeight="true" outlineLevel="0" collapsed="false">
      <c r="H35" s="62" t="str">
        <f aca="false">IF(J32=0,"- - -",IF(AND(J32&gt;=10,NOT(J33="NVAL")),"Semestre validé","Semestre échoué"))</f>
        <v>- - -</v>
      </c>
      <c r="I35" s="62"/>
      <c r="J35" s="62"/>
      <c r="K35" s="62"/>
    </row>
  </sheetData>
  <mergeCells count="74">
    <mergeCell ref="A1:B1"/>
    <mergeCell ref="D1:E1"/>
    <mergeCell ref="F1:G1"/>
    <mergeCell ref="H1:I1"/>
    <mergeCell ref="J1:K1"/>
    <mergeCell ref="A2:B10"/>
    <mergeCell ref="C2:C12"/>
    <mergeCell ref="D2:D6"/>
    <mergeCell ref="G2:G6"/>
    <mergeCell ref="H2:I6"/>
    <mergeCell ref="J2:K10"/>
    <mergeCell ref="D7:D10"/>
    <mergeCell ref="G7:G10"/>
    <mergeCell ref="H7:I10"/>
    <mergeCell ref="A11:B11"/>
    <mergeCell ref="D11:E12"/>
    <mergeCell ref="G11:G12"/>
    <mergeCell ref="H11:I12"/>
    <mergeCell ref="J11:K11"/>
    <mergeCell ref="A12:B12"/>
    <mergeCell ref="J12:K12"/>
    <mergeCell ref="A13:B17"/>
    <mergeCell ref="C13:C17"/>
    <mergeCell ref="D13:D16"/>
    <mergeCell ref="G13:G16"/>
    <mergeCell ref="I13:I16"/>
    <mergeCell ref="J13:K17"/>
    <mergeCell ref="D17:E17"/>
    <mergeCell ref="F17:G17"/>
    <mergeCell ref="H17:I17"/>
    <mergeCell ref="A18:B24"/>
    <mergeCell ref="C18:C24"/>
    <mergeCell ref="D18:D22"/>
    <mergeCell ref="G18:G22"/>
    <mergeCell ref="I18:I22"/>
    <mergeCell ref="J18:K24"/>
    <mergeCell ref="D23:E23"/>
    <mergeCell ref="G23:G24"/>
    <mergeCell ref="I23:I24"/>
    <mergeCell ref="D24:E24"/>
    <mergeCell ref="A25:A31"/>
    <mergeCell ref="C25:C28"/>
    <mergeCell ref="D25:E25"/>
    <mergeCell ref="F25:G25"/>
    <mergeCell ref="H25:I25"/>
    <mergeCell ref="K25:K28"/>
    <mergeCell ref="B26:B28"/>
    <mergeCell ref="D26:E26"/>
    <mergeCell ref="F26:G26"/>
    <mergeCell ref="H26:I28"/>
    <mergeCell ref="J26:J28"/>
    <mergeCell ref="D27:E27"/>
    <mergeCell ref="F27:G27"/>
    <mergeCell ref="D28:E28"/>
    <mergeCell ref="F28:G28"/>
    <mergeCell ref="D29:E29"/>
    <mergeCell ref="F29:G29"/>
    <mergeCell ref="H29:I29"/>
    <mergeCell ref="J29:K29"/>
    <mergeCell ref="D30:E30"/>
    <mergeCell ref="F30:G30"/>
    <mergeCell ref="H30:I30"/>
    <mergeCell ref="J30:K30"/>
    <mergeCell ref="D31:E31"/>
    <mergeCell ref="F31:G31"/>
    <mergeCell ref="H31:I31"/>
    <mergeCell ref="J31:K31"/>
    <mergeCell ref="H32:I32"/>
    <mergeCell ref="J32:K32"/>
    <mergeCell ref="H33:I33"/>
    <mergeCell ref="J33:K33"/>
    <mergeCell ref="H34:I34"/>
    <mergeCell ref="J34:K34"/>
    <mergeCell ref="H35:K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ECEB16FDF7D498F7AA4B963B63AA3" ma:contentTypeVersion="2" ma:contentTypeDescription="Crée un document." ma:contentTypeScope="" ma:versionID="f34a351dba84fe90c55a96c70f703010">
  <xsd:schema xmlns:xsd="http://www.w3.org/2001/XMLSchema" xmlns:xs="http://www.w3.org/2001/XMLSchema" xmlns:p="http://schemas.microsoft.com/office/2006/metadata/properties" xmlns:ns3="4093c7db-8cb2-4e3a-ab52-82c18cbbf0b5" targetNamespace="http://schemas.microsoft.com/office/2006/metadata/properties" ma:root="true" ma:fieldsID="f87185d7c81893c3b3a557b73d22da1a" ns3:_="">
    <xsd:import namespace="4093c7db-8cb2-4e3a-ab52-82c18cbbf0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3c7db-8cb2-4e3a-ab52-82c18cbbf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481FAA-0048-4BF8-BFA5-76C48A551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93c7db-8cb2-4e3a-ab52-82c18cbbf0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9801EA-E33C-46C6-BA58-6C6C8BA97CA2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093c7db-8cb2-4e3a-ab52-82c18cbbf0b5"/>
  </ds:schemaRefs>
</ds:datastoreItem>
</file>

<file path=customXml/itemProps3.xml><?xml version="1.0" encoding="utf-8"?>
<ds:datastoreItem xmlns:ds="http://schemas.openxmlformats.org/officeDocument/2006/customXml" ds:itemID="{5ABE6F08-F689-4CB6-A930-A4B474C7DA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LibreOffice/24.2.0.3$MacOSX_X86_64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2021-11-05T17:08:48Z</dcterms:created>
  <dc:creator>TONNIS DORIAN p2104276</dc:creator>
  <dc:description/>
  <dc:language>fr-FR</dc:language>
  <cp:lastModifiedBy/>
  <dcterms:modified xsi:type="dcterms:W3CDTF">2024-03-09T13:29:40Z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0x010100216ECEB16FDF7D498F7AA4B963B63AA3</vt:lpwstr>
  </property>
</Properties>
</file>